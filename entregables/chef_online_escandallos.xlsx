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carta" sheetId="1" state="visible" r:id="rId3"/>
    <sheet name="Papas arrugadas con mojo rojo" sheetId="2" state="visible" r:id="rId4"/>
    <sheet name="Ropa vieja canaria" sheetId="3" state="visible" r:id="rId5"/>
    <sheet name="Vieja a la espalda con mojo ver" sheetId="4" state="visible" r:id="rId6"/>
    <sheet name="Queso asado con miel de palma" sheetId="5" state="visible" r:id="rId7"/>
    <sheet name="Plátano frito con gofio y mie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<sst xmlns="http://schemas.openxmlformats.org/spreadsheetml/2006/main" count="434" uniqueCount="129">
  <si>
    <t xml:space="preserve">Resumen de carta · La Tasca del Puerto · Guía de Isora, Tenerife</t>
  </si>
  <si>
    <t xml:space="preserve">Zona fiscal: Canarias (IGIC 7%)  ·  Food cost objetivo: 30%</t>
  </si>
  <si>
    <t xml:space="preserve">Código</t>
  </si>
  <si>
    <t xml:space="preserve">Plato</t>
  </si>
  <si>
    <t xml:space="preserve">Categoría</t>
  </si>
  <si>
    <t xml:space="preserve">Raciones</t>
  </si>
  <si>
    <t xml:space="preserve">Coste/ración (€)</t>
  </si>
  <si>
    <t xml:space="preserve">PVP (€)</t>
  </si>
  <si>
    <t xml:space="preserve">Food cost (%)</t>
  </si>
  <si>
    <t xml:space="preserve">Margen bruto (€)</t>
  </si>
  <si>
    <t xml:space="preserve">Margen (%)</t>
  </si>
  <si>
    <t xml:space="preserve">PVP recomendado (€)</t>
  </si>
  <si>
    <t xml:space="preserve">Diagnóstico</t>
  </si>
  <si>
    <t xml:space="preserve">PL-001</t>
  </si>
  <si>
    <t xml:space="preserve">Papas arrugadas con mojo rojo</t>
  </si>
  <si>
    <t xml:space="preserve">Entrante</t>
  </si>
  <si>
    <t xml:space="preserve">PL-002</t>
  </si>
  <si>
    <t xml:space="preserve">Ropa vieja canaria</t>
  </si>
  <si>
    <t xml:space="preserve">Principal</t>
  </si>
  <si>
    <t xml:space="preserve">PL-003</t>
  </si>
  <si>
    <t xml:space="preserve">Vieja a la espalda con mojo verde</t>
  </si>
  <si>
    <t xml:space="preserve">PL-004</t>
  </si>
  <si>
    <t xml:space="preserve">Queso asado con miel de palma</t>
  </si>
  <si>
    <t xml:space="preserve">PL-005</t>
  </si>
  <si>
    <t xml:space="preserve">Plátano frito con gofio y miel</t>
  </si>
  <si>
    <t xml:space="preserve">Postre</t>
  </si>
  <si>
    <t xml:space="preserve">Food cost medio carta</t>
  </si>
  <si>
    <t xml:space="preserve">Platos a revisar / no rentables</t>
  </si>
  <si>
    <t xml:space="preserve">Escandallo · Papas arrugadas con mojo rojo</t>
  </si>
  <si>
    <t xml:space="preserve">Código: PL-001  ·  Categoría: Entrante  ·  Zona: Canarias (IGIC)</t>
  </si>
  <si>
    <t xml:space="preserve">Ingrediente</t>
  </si>
  <si>
    <t xml:space="preserve">Cantidad</t>
  </si>
  <si>
    <t xml:space="preserve">Unidad</t>
  </si>
  <si>
    <t xml:space="preserve">Precio compra (€/kg-l)</t>
  </si>
  <si>
    <t xml:space="preserve">Merma %</t>
  </si>
  <si>
    <t xml:space="preserve">Coste útil (€/kg-l)</t>
  </si>
  <si>
    <t xml:space="preserve">Coste línea (€)</t>
  </si>
  <si>
    <t xml:space="preserve">Papa negra canaria</t>
  </si>
  <si>
    <t xml:space="preserve">kg (g/ml)</t>
  </si>
  <si>
    <t xml:space="preserve">Pimiento rojo</t>
  </si>
  <si>
    <t xml:space="preserve">Aceite de oliva</t>
  </si>
  <si>
    <t xml:space="preserve">l (g/ml)</t>
  </si>
  <si>
    <t xml:space="preserve">Ajo</t>
  </si>
  <si>
    <t xml:space="preserve">Comino molido</t>
  </si>
  <si>
    <t xml:space="preserve">Sal gruesa</t>
  </si>
  <si>
    <t xml:space="preserve">Vinagre de vino</t>
  </si>
  <si>
    <t xml:space="preserve">Pimentón</t>
  </si>
  <si>
    <t xml:space="preserve">Coste ingredientes (€)</t>
  </si>
  <si>
    <t xml:space="preserve">Condimentos y varios (%)</t>
  </si>
  <si>
    <t xml:space="preserve">Extras (€)</t>
  </si>
  <si>
    <t xml:space="preserve">Packaging (€)</t>
  </si>
  <si>
    <t xml:space="preserve">Coste directo (€)</t>
  </si>
  <si>
    <t xml:space="preserve">Coste por ración (€)</t>
  </si>
  <si>
    <t xml:space="preserve">PVP carta (€, con IGIC)</t>
  </si>
  <si>
    <t xml:space="preserve">IGIC / IVA (%)</t>
  </si>
  <si>
    <t xml:space="preserve">PVP sin impuesto (€)</t>
  </si>
  <si>
    <t xml:space="preserve">Food cost objetivo (%)</t>
  </si>
  <si>
    <t xml:space="preserve">PVP recomendado (€, con IGIC)</t>
  </si>
  <si>
    <t xml:space="preserve">Alérgenos (14 UE)</t>
  </si>
  <si>
    <t xml:space="preserve">Alérgeno</t>
  </si>
  <si>
    <t xml:space="preserve">Estado</t>
  </si>
  <si>
    <t xml:space="preserve">Cereales con gluten</t>
  </si>
  <si>
    <t xml:space="preserve">No contiene</t>
  </si>
  <si>
    <t xml:space="preserve">Crustáceos</t>
  </si>
  <si>
    <t xml:space="preserve">Huevos</t>
  </si>
  <si>
    <t xml:space="preserve">Pescado</t>
  </si>
  <si>
    <t xml:space="preserve">Cacahuetes</t>
  </si>
  <si>
    <t xml:space="preserve">Soja</t>
  </si>
  <si>
    <t xml:space="preserve">Leche y lactosa</t>
  </si>
  <si>
    <t xml:space="preserve">Frutos de cáscara</t>
  </si>
  <si>
    <t xml:space="preserve">Apio</t>
  </si>
  <si>
    <t xml:space="preserve">Mostaza</t>
  </si>
  <si>
    <t xml:space="preserve">Sésamo</t>
  </si>
  <si>
    <t xml:space="preserve">Sulfitos</t>
  </si>
  <si>
    <t xml:space="preserve">Contiene</t>
  </si>
  <si>
    <t xml:space="preserve">Altramuces</t>
  </si>
  <si>
    <t xml:space="preserve">Moluscos</t>
  </si>
  <si>
    <t xml:space="preserve">Validar siempre con información real de proveedor y etiquetado de producto antes de publicar la carta.</t>
  </si>
  <si>
    <t xml:space="preserve">Ficha técnica</t>
  </si>
  <si>
    <t xml:space="preserve">Elaboración</t>
  </si>
  <si>
    <t xml:space="preserve">Lavar las papas sin pelar y cocer en agua muy salada 25-30 min hasta arrugar. Escurrir y secar al fuego. Mojo: triturar pimiento, ajo, comino, pimentón, vinagre, sal y aceite.</t>
  </si>
  <si>
    <t xml:space="preserve">Conservación</t>
  </si>
  <si>
    <t xml:space="preserve">Mojo en frío positivo (0-4°C) en recipiente cerrado. Papas: elaboración al momento.</t>
  </si>
  <si>
    <t xml:space="preserve">Temperatura de servicio</t>
  </si>
  <si>
    <t xml:space="preserve">Servicio caliente, mojo a temperatura ambiente.</t>
  </si>
  <si>
    <t xml:space="preserve">Vida útil</t>
  </si>
  <si>
    <t xml:space="preserve">Mojo: 5 días refrigerado. Papas: consumo inmediato.</t>
  </si>
  <si>
    <t xml:space="preserve">Observaciones</t>
  </si>
  <si>
    <t xml:space="preserve">No pelar la papa. Punto de sal alto en cocción, sin sal añadida al emplatar.</t>
  </si>
  <si>
    <t xml:space="preserve">Escandallo · Ropa vieja canaria</t>
  </si>
  <si>
    <t xml:space="preserve">Código: PL-002  ·  Categoría: Principal  ·  Zona: Canarias (IGIC)</t>
  </si>
  <si>
    <t xml:space="preserve">Falda de ternera</t>
  </si>
  <si>
    <t xml:space="preserve">Garbanzo cocido</t>
  </si>
  <si>
    <t xml:space="preserve">Cebolla</t>
  </si>
  <si>
    <t xml:space="preserve">Tomate</t>
  </si>
  <si>
    <t xml:space="preserve">Vino blanco de cocina</t>
  </si>
  <si>
    <t xml:space="preserve">Guisar la falda hasta que se deshebre. Sofrito de cebolla, pimiento, ajo y tomate; añadir carne deshebrada, garbanzos y papas fritas en dados. Ligar y reposar.</t>
  </si>
  <si>
    <t xml:space="preserve">Frío positivo 0-4°C tapado. Regenerar a +65°C en corazón.</t>
  </si>
  <si>
    <t xml:space="preserve">+65°C.</t>
  </si>
  <si>
    <t xml:space="preserve">3 días refrigerado, 2 meses congelado.</t>
  </si>
  <si>
    <t xml:space="preserve">Sulfitos por el vino. Mejora al día siguiente.</t>
  </si>
  <si>
    <t xml:space="preserve">Escandallo · Vieja a la espalda con mojo verde</t>
  </si>
  <si>
    <t xml:space="preserve">Código: PL-003  ·  Categoría: Principal  ·  Zona: Canarias (IGIC)</t>
  </si>
  <si>
    <t xml:space="preserve">Vieja (pescado local)</t>
  </si>
  <si>
    <t xml:space="preserve">Pimiento verde</t>
  </si>
  <si>
    <t xml:space="preserve">Abrir la vieja a la espalda, plancha fuerte por piel, terminar con refrito de ajo. Acompañar de papas y mojo verde.</t>
  </si>
  <si>
    <t xml:space="preserve">Pescado fresco 0-2°C sobre hielo, máx 24h.</t>
  </si>
  <si>
    <t xml:space="preserve">+63°C.</t>
  </si>
  <si>
    <t xml:space="preserve">Consumo en el día.</t>
  </si>
  <si>
    <t xml:space="preserve">Merma alta (35%): pedir limpia al proveedor si compensa el sobreprecio.</t>
  </si>
  <si>
    <t xml:space="preserve">Escandallo · Queso asado con miel de palma</t>
  </si>
  <si>
    <t xml:space="preserve">Código: PL-004  ·  Categoría: Entrante  ·  Zona: Canarias (IGIC)</t>
  </si>
  <si>
    <t xml:space="preserve">Queso canario semicurado</t>
  </si>
  <si>
    <t xml:space="preserve">Miel de palma</t>
  </si>
  <si>
    <t xml:space="preserve">Gofio de millo</t>
  </si>
  <si>
    <t xml:space="preserve">Pendiente de validar</t>
  </si>
  <si>
    <t xml:space="preserve">Marcar el queso a la plancha por ambas caras. Emplatar con miel de palma y espolvoreo de gofio tostado.</t>
  </si>
  <si>
    <t xml:space="preserve">Queso en frío positivo 0-4°C envuelto.</t>
  </si>
  <si>
    <t xml:space="preserve">Caliente, servicio inmediato.</t>
  </si>
  <si>
    <t xml:space="preserve">Queso abierto: 7 días.</t>
  </si>
  <si>
    <t xml:space="preserve">Confirmar con proveedor si el gofio es 100% millo o mezcla con trigo.</t>
  </si>
  <si>
    <t xml:space="preserve">Escandallo · Plátano frito con gofio y miel</t>
  </si>
  <si>
    <t xml:space="preserve">Código: PL-005  ·  Categoría: Postre  ·  Zona: Canarias (IGIC)</t>
  </si>
  <si>
    <t xml:space="preserve">Plátano de Canarias</t>
  </si>
  <si>
    <t xml:space="preserve">Freír el plátano maduro en aceite a 170°C hasta dorar. Emplatar con gofio y miel de palma.</t>
  </si>
  <si>
    <t xml:space="preserve">Elaboración al momento.</t>
  </si>
  <si>
    <t xml:space="preserve">Caliente.</t>
  </si>
  <si>
    <t xml:space="preserve">Consumo inmediato.</t>
  </si>
  <si>
    <t xml:space="preserve">Usar plátano bien maduro; la merma del 30% corresponde a la piel.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</si>
</sst>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 €&quot;"/>
    <numFmt numFmtId="166" formatCode="0.0\%"/>
    <numFmt numFmtId="167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3A5F"/>
      <name val="Cambria"/>
      <family val="0"/>
      <charset val="1"/>
    </font>
    <font>
      <i val="true"/>
      <sz val="11"/>
      <color rgb="FF6E6A5C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i val="true"/>
      <sz val="9"/>
      <color rgb="FF8A8474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0BC"/>
      </left>
      <right style="thin">
        <color rgb="FFD8D0BC"/>
      </right>
      <top style="thin">
        <color rgb="FFD8D0BC"/>
      </top>
      <bottom style="thin">
        <color rgb="FFD8D0B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0BC"/>
      <rgbColor rgb="FF8A8474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A5C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1" min="11" style="0" width="13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41.7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4" t="s">
        <v>14</v>
      </c>
      <c r="C5" s="4" t="s">
        <v>15</v>
      </c>
      <c r="D5" s="4" t="n">
        <f aca="false">'Papas arrugadas con mojo rojo'!B19</f>
        <v>1</v>
      </c>
      <c r="E5" s="5" t="n">
        <f aca="false">'Papas arrugadas con mojo rojo'!B20</f>
        <v>0.863168498953732</v>
      </c>
      <c r="F5" s="5" t="n">
        <f aca="false">'Papas arrugadas con mojo rojo'!B22</f>
        <v>4.5</v>
      </c>
      <c r="G5" s="6" t="n">
        <f aca="false">'Papas arrugadas con mojo rojo'!B25</f>
        <v>20.5242287528998</v>
      </c>
      <c r="H5" s="5" t="n">
        <f aca="false">'Papas arrugadas con mojo rojo'!B26</f>
        <v>3.34243897768178</v>
      </c>
      <c r="I5" s="6" t="n">
        <f aca="false">'Papas arrugadas con mojo rojo'!B27</f>
        <v>79.4757712471002</v>
      </c>
      <c r="J5" s="5" t="n">
        <f aca="false">'Papas arrugadas con mojo rojo'!B29</f>
        <v>3.1</v>
      </c>
      <c r="K5" s="4" t="str">
        <f aca="false">'Papas arrugadas con mojo rojo'!B30</f>
        <v>Rentable</v>
      </c>
    </row>
    <row r="6" customFormat="false" ht="15" hidden="false" customHeight="false" outlineLevel="0" collapsed="false">
      <c r="A6" s="4" t="s">
        <v>16</v>
      </c>
      <c r="B6" s="4" t="s">
        <v>17</v>
      </c>
      <c r="C6" s="4" t="s">
        <v>18</v>
      </c>
      <c r="D6" s="4" t="n">
        <f aca="false">'Ropa vieja canaria'!B20</f>
        <v>1</v>
      </c>
      <c r="E6" s="5" t="n">
        <f aca="false">'Ropa vieja canaria'!B21</f>
        <v>3.30415136944897</v>
      </c>
      <c r="F6" s="5" t="n">
        <f aca="false">'Ropa vieja canaria'!B23</f>
        <v>9.5</v>
      </c>
      <c r="G6" s="6" t="n">
        <f aca="false">'Ropa vieja canaria'!B26</f>
        <v>37.2151785822147</v>
      </c>
      <c r="H6" s="5" t="n">
        <f aca="false">'Ropa vieja canaria'!B27</f>
        <v>5.57435330344823</v>
      </c>
      <c r="I6" s="6" t="n">
        <f aca="false">'Ropa vieja canaria'!B28</f>
        <v>62.7848214177853</v>
      </c>
      <c r="J6" s="5" t="n">
        <f aca="false">'Ropa vieja canaria'!B30</f>
        <v>11.8</v>
      </c>
      <c r="K6" s="4" t="str">
        <f aca="false">'Ropa vieja canaria'!B31</f>
        <v>No rentable</v>
      </c>
    </row>
    <row r="7" customFormat="false" ht="15" hidden="false" customHeight="false" outlineLevel="0" collapsed="false">
      <c r="A7" s="4" t="s">
        <v>19</v>
      </c>
      <c r="B7" s="4" t="s">
        <v>20</v>
      </c>
      <c r="C7" s="4" t="s">
        <v>18</v>
      </c>
      <c r="D7" s="4" t="n">
        <f aca="false">'Vieja a la espalda con mojo ver'!B18</f>
        <v>1</v>
      </c>
      <c r="E7" s="5" t="n">
        <f aca="false">'Vieja a la espalda con mojo ver'!B19</f>
        <v>6.71774458748413</v>
      </c>
      <c r="F7" s="5" t="n">
        <f aca="false">'Vieja a la espalda con mojo ver'!B21</f>
        <v>14</v>
      </c>
      <c r="G7" s="6" t="n">
        <f aca="false">'Vieja a la espalda con mojo ver'!B24</f>
        <v>51.342762204343</v>
      </c>
      <c r="H7" s="5" t="n">
        <f aca="false">'Vieja a la espalda con mojo ver'!B25</f>
        <v>6.36636756204858</v>
      </c>
      <c r="I7" s="6" t="n">
        <f aca="false">'Vieja a la espalda con mojo ver'!B26</f>
        <v>48.657237795657</v>
      </c>
      <c r="J7" s="5" t="n">
        <f aca="false">'Vieja a la espalda con mojo ver'!B28</f>
        <v>24</v>
      </c>
      <c r="K7" s="4" t="str">
        <f aca="false">'Vieja a la espalda con mojo ver'!B29</f>
        <v>No rentable</v>
      </c>
    </row>
    <row r="8" customFormat="false" ht="15" hidden="false" customHeight="false" outlineLevel="0" collapsed="false">
      <c r="A8" s="4" t="s">
        <v>21</v>
      </c>
      <c r="B8" s="4" t="s">
        <v>22</v>
      </c>
      <c r="C8" s="4" t="s">
        <v>15</v>
      </c>
      <c r="D8" s="4" t="n">
        <f aca="false">'Queso asado con miel de palma'!B15</f>
        <v>1</v>
      </c>
      <c r="E8" s="5" t="n">
        <f aca="false">'Queso asado con miel de palma'!B16</f>
        <v>1.97699073684211</v>
      </c>
      <c r="F8" s="5" t="n">
        <f aca="false">'Queso asado con miel de palma'!B18</f>
        <v>7</v>
      </c>
      <c r="G8" s="6" t="n">
        <f aca="false">'Queso asado con miel de palma'!B21</f>
        <v>30.2197155488722</v>
      </c>
      <c r="H8" s="5" t="n">
        <f aca="false">'Queso asado con miel de palma'!B22</f>
        <v>4.56506533792425</v>
      </c>
      <c r="I8" s="6" t="n">
        <f aca="false">'Queso asado con miel de palma'!B23</f>
        <v>69.7802844511278</v>
      </c>
      <c r="J8" s="5" t="n">
        <f aca="false">'Queso asado con miel de palma'!B25</f>
        <v>7.1</v>
      </c>
      <c r="K8" s="4" t="str">
        <f aca="false">'Queso asado con miel de palma'!B26</f>
        <v>Revisar</v>
      </c>
    </row>
    <row r="9" customFormat="false" ht="15" hidden="false" customHeight="false" outlineLevel="0" collapsed="false">
      <c r="A9" s="4" t="s">
        <v>23</v>
      </c>
      <c r="B9" s="4" t="s">
        <v>24</v>
      </c>
      <c r="C9" s="4" t="s">
        <v>25</v>
      </c>
      <c r="D9" s="4" t="n">
        <f aca="false">'Plátano frito con gofio y miel'!B15</f>
        <v>1</v>
      </c>
      <c r="E9" s="5" t="n">
        <f aca="false">'Plátano frito con gofio y miel'!B16</f>
        <v>0.899005714285714</v>
      </c>
      <c r="F9" s="5" t="n">
        <f aca="false">'Plátano frito con gofio y miel'!B18</f>
        <v>5.5</v>
      </c>
      <c r="G9" s="6" t="n">
        <f aca="false">'Plátano frito con gofio y miel'!B21</f>
        <v>17.4897475324675</v>
      </c>
      <c r="H9" s="5" t="n">
        <f aca="false">'Plátano frito con gofio y miel'!B22</f>
        <v>4.24118120160214</v>
      </c>
      <c r="I9" s="6" t="n">
        <f aca="false">'Plátano frito con gofio y miel'!B23</f>
        <v>82.5102524675325</v>
      </c>
      <c r="J9" s="5" t="n">
        <f aca="false">'Plátano frito con gofio y miel'!B25</f>
        <v>3.25</v>
      </c>
      <c r="K9" s="4" t="str">
        <f aca="false">'Plátano frito con gofio y miel'!B26</f>
        <v>Rentable</v>
      </c>
    </row>
    <row r="11" customFormat="false" ht="15" hidden="false" customHeight="false" outlineLevel="0" collapsed="false">
      <c r="A11" s="7" t="s">
        <v>26</v>
      </c>
      <c r="G11" s="8" t="n">
        <f aca="false">AVERAGE(G5:G9)</f>
        <v>31.3583265241594</v>
      </c>
    </row>
    <row r="12" customFormat="false" ht="15" hidden="false" customHeight="false" outlineLevel="0" collapsed="false">
      <c r="A12" s="7" t="s">
        <v>27</v>
      </c>
      <c r="G12" s="7" t="n">
        <f aca="false">COUNTIF(K5:K9,"Revisar")+COUNTIF(K5:K9,"No rentable")</f>
        <v>3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" t="s">
        <v>28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29</v>
      </c>
      <c r="B2" s="2"/>
      <c r="C2" s="2"/>
      <c r="D2" s="2"/>
      <c r="E2" s="2"/>
      <c r="F2" s="2"/>
      <c r="G2" s="2"/>
    </row>
    <row r="4" customFormat="false" ht="28.35" hidden="false" customHeight="false" outlineLevel="0" collapsed="false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</row>
    <row r="5" customFormat="false" ht="15" hidden="false" customHeight="false" outlineLevel="0" collapsed="false">
      <c r="A5" s="4" t="s">
        <v>37</v>
      </c>
      <c r="B5" s="4" t="n">
        <v>250</v>
      </c>
      <c r="C5" s="4" t="s">
        <v>38</v>
      </c>
      <c r="D5" s="9" t="n">
        <v>1.85</v>
      </c>
      <c r="E5" s="9" t="n">
        <v>8</v>
      </c>
      <c r="F5" s="10" t="n">
        <f aca="false">D5/(1-E5/100)</f>
        <v>2.01086956521739</v>
      </c>
      <c r="G5" s="10" t="n">
        <f aca="false">(B5/1000)*F5</f>
        <v>0.502717391304348</v>
      </c>
    </row>
    <row r="6" customFormat="false" ht="15" hidden="false" customHeight="false" outlineLevel="0" collapsed="false">
      <c r="A6" s="4" t="s">
        <v>39</v>
      </c>
      <c r="B6" s="4" t="n">
        <v>30</v>
      </c>
      <c r="C6" s="4" t="s">
        <v>38</v>
      </c>
      <c r="D6" s="9" t="n">
        <v>3.05</v>
      </c>
      <c r="E6" s="9" t="n">
        <v>15</v>
      </c>
      <c r="F6" s="10" t="n">
        <f aca="false">D6/(1-E6/100)</f>
        <v>3.58823529411765</v>
      </c>
      <c r="G6" s="10" t="n">
        <f aca="false">(B6/1000)*F6</f>
        <v>0.107647058823529</v>
      </c>
    </row>
    <row r="7" customFormat="false" ht="15" hidden="false" customHeight="false" outlineLevel="0" collapsed="false">
      <c r="A7" s="4" t="s">
        <v>40</v>
      </c>
      <c r="B7" s="4" t="n">
        <v>15</v>
      </c>
      <c r="C7" s="4" t="s">
        <v>41</v>
      </c>
      <c r="D7" s="9" t="n">
        <v>6.5</v>
      </c>
      <c r="E7" s="9" t="n">
        <v>0</v>
      </c>
      <c r="F7" s="10" t="n">
        <f aca="false">D7/(1-E7/100)</f>
        <v>6.5</v>
      </c>
      <c r="G7" s="10" t="n">
        <f aca="false">(B7/1000)*F7</f>
        <v>0.0975</v>
      </c>
    </row>
    <row r="8" customFormat="false" ht="15" hidden="false" customHeight="false" outlineLevel="0" collapsed="false">
      <c r="A8" s="4" t="s">
        <v>42</v>
      </c>
      <c r="B8" s="4" t="n">
        <v>6</v>
      </c>
      <c r="C8" s="4" t="s">
        <v>38</v>
      </c>
      <c r="D8" s="9" t="n">
        <v>8</v>
      </c>
      <c r="E8" s="9" t="n">
        <v>12</v>
      </c>
      <c r="F8" s="10" t="n">
        <f aca="false">D8/(1-E8/100)</f>
        <v>9.09090909090909</v>
      </c>
      <c r="G8" s="10" t="n">
        <f aca="false">(B8/1000)*F8</f>
        <v>0.0545454545454546</v>
      </c>
    </row>
    <row r="9" customFormat="false" ht="15" hidden="false" customHeight="false" outlineLevel="0" collapsed="false">
      <c r="A9" s="4" t="s">
        <v>43</v>
      </c>
      <c r="B9" s="4" t="n">
        <v>1</v>
      </c>
      <c r="C9" s="4" t="s">
        <v>38</v>
      </c>
      <c r="D9" s="9" t="n">
        <v>14</v>
      </c>
      <c r="E9" s="9" t="n">
        <v>0</v>
      </c>
      <c r="F9" s="10" t="n">
        <f aca="false">D9/(1-E9/100)</f>
        <v>14</v>
      </c>
      <c r="G9" s="10" t="n">
        <f aca="false">(B9/1000)*F9</f>
        <v>0.014</v>
      </c>
    </row>
    <row r="10" customFormat="false" ht="15" hidden="false" customHeight="false" outlineLevel="0" collapsed="false">
      <c r="A10" s="4" t="s">
        <v>44</v>
      </c>
      <c r="B10" s="4" t="n">
        <v>8</v>
      </c>
      <c r="C10" s="4" t="s">
        <v>38</v>
      </c>
      <c r="D10" s="9" t="n">
        <v>0.8</v>
      </c>
      <c r="E10" s="9" t="n">
        <v>0</v>
      </c>
      <c r="F10" s="10" t="n">
        <f aca="false">D10/(1-E10/100)</f>
        <v>0.8</v>
      </c>
      <c r="G10" s="10" t="n">
        <f aca="false">(B10/1000)*F10</f>
        <v>0.0064</v>
      </c>
    </row>
    <row r="11" customFormat="false" ht="15" hidden="false" customHeight="false" outlineLevel="0" collapsed="false">
      <c r="A11" s="4" t="s">
        <v>45</v>
      </c>
      <c r="B11" s="4" t="n">
        <v>5</v>
      </c>
      <c r="C11" s="4" t="s">
        <v>41</v>
      </c>
      <c r="D11" s="9" t="n">
        <v>1.5</v>
      </c>
      <c r="E11" s="9" t="n">
        <v>0</v>
      </c>
      <c r="F11" s="10" t="n">
        <f aca="false">D11/(1-E11/100)</f>
        <v>1.5</v>
      </c>
      <c r="G11" s="10" t="n">
        <f aca="false">(B11/1000)*F11</f>
        <v>0.0075</v>
      </c>
    </row>
    <row r="12" customFormat="false" ht="15" hidden="false" customHeight="false" outlineLevel="0" collapsed="false">
      <c r="A12" s="4" t="s">
        <v>46</v>
      </c>
      <c r="B12" s="4" t="n">
        <v>2</v>
      </c>
      <c r="C12" s="4" t="s">
        <v>38</v>
      </c>
      <c r="D12" s="9" t="n">
        <v>12</v>
      </c>
      <c r="E12" s="9" t="n">
        <v>0</v>
      </c>
      <c r="F12" s="10" t="n">
        <f aca="false">D12/(1-E12/100)</f>
        <v>12</v>
      </c>
      <c r="G12" s="10" t="n">
        <f aca="false">(B12/1000)*F12</f>
        <v>0.024</v>
      </c>
    </row>
    <row r="14" customFormat="false" ht="15" hidden="false" customHeight="false" outlineLevel="0" collapsed="false">
      <c r="A14" s="7" t="s">
        <v>47</v>
      </c>
      <c r="B14" s="11" t="n">
        <f aca="false">SUM(G5:G12)</f>
        <v>0.814309904673332</v>
      </c>
    </row>
    <row r="15" customFormat="false" ht="15" hidden="false" customHeight="false" outlineLevel="0" collapsed="false">
      <c r="A15" s="0" t="s">
        <v>48</v>
      </c>
      <c r="B15" s="12" t="n">
        <v>6</v>
      </c>
    </row>
    <row r="16" customFormat="false" ht="15" hidden="false" customHeight="false" outlineLevel="0" collapsed="false">
      <c r="A16" s="0" t="s">
        <v>49</v>
      </c>
      <c r="B16" s="0" t="n">
        <f aca="false">B14*B15/100</f>
        <v>0.0488585942803999</v>
      </c>
    </row>
    <row r="17" customFormat="false" ht="15" hidden="false" customHeight="false" outlineLevel="0" collapsed="false">
      <c r="A17" s="0" t="s">
        <v>50</v>
      </c>
      <c r="B17" s="12" t="n">
        <v>0</v>
      </c>
    </row>
    <row r="18" customFormat="false" ht="15" hidden="false" customHeight="false" outlineLevel="0" collapsed="false">
      <c r="A18" s="7" t="s">
        <v>51</v>
      </c>
      <c r="B18" s="7" t="n">
        <f aca="false">B14+B16+B17</f>
        <v>0.863168498953732</v>
      </c>
    </row>
    <row r="19" customFormat="false" ht="15" hidden="false" customHeight="false" outlineLevel="0" collapsed="false">
      <c r="A19" s="0" t="s">
        <v>5</v>
      </c>
      <c r="B19" s="12" t="n">
        <v>1</v>
      </c>
    </row>
    <row r="20" customFormat="false" ht="15" hidden="false" customHeight="false" outlineLevel="0" collapsed="false">
      <c r="A20" s="7" t="s">
        <v>52</v>
      </c>
      <c r="B20" s="7" t="n">
        <f aca="false">B18/B19</f>
        <v>0.863168498953732</v>
      </c>
    </row>
    <row r="22" customFormat="false" ht="15" hidden="false" customHeight="false" outlineLevel="0" collapsed="false">
      <c r="A22" s="7" t="s">
        <v>53</v>
      </c>
      <c r="B22" s="12" t="n">
        <v>4.5</v>
      </c>
    </row>
    <row r="23" customFormat="false" ht="15" hidden="false" customHeight="false" outlineLevel="0" collapsed="false">
      <c r="A23" s="0" t="s">
        <v>54</v>
      </c>
      <c r="B23" s="12" t="n">
        <v>7</v>
      </c>
    </row>
    <row r="24" customFormat="false" ht="15" hidden="false" customHeight="false" outlineLevel="0" collapsed="false">
      <c r="A24" s="0" t="s">
        <v>55</v>
      </c>
      <c r="B24" s="0" t="n">
        <f aca="false">B22/(1+B23/100)</f>
        <v>4.20560747663551</v>
      </c>
    </row>
    <row r="25" customFormat="false" ht="15" hidden="false" customHeight="false" outlineLevel="0" collapsed="false">
      <c r="A25" s="7" t="s">
        <v>8</v>
      </c>
      <c r="B25" s="7" t="n">
        <f aca="false">B20/B24*100</f>
        <v>20.5242287528998</v>
      </c>
    </row>
    <row r="26" customFormat="false" ht="15" hidden="false" customHeight="false" outlineLevel="0" collapsed="false">
      <c r="A26" s="0" t="s">
        <v>9</v>
      </c>
      <c r="B26" s="0" t="n">
        <f aca="false">B24-B20</f>
        <v>3.34243897768178</v>
      </c>
    </row>
    <row r="27" customFormat="false" ht="15" hidden="false" customHeight="false" outlineLevel="0" collapsed="false">
      <c r="A27" s="0" t="s">
        <v>10</v>
      </c>
      <c r="B27" s="0" t="n">
        <f aca="false">B26/B24*100</f>
        <v>79.4757712471002</v>
      </c>
    </row>
    <row r="28" customFormat="false" ht="15" hidden="false" customHeight="false" outlineLevel="0" collapsed="false">
      <c r="A28" s="0" t="s">
        <v>56</v>
      </c>
      <c r="B28" s="12" t="n">
        <v>30</v>
      </c>
    </row>
    <row r="29" customFormat="false" ht="15" hidden="false" customHeight="false" outlineLevel="0" collapsed="false">
      <c r="A29" s="0" t="s">
        <v>57</v>
      </c>
      <c r="B29" s="0" t="n">
        <f aca="false">CEILING((B20/(B28/100))*(1+B23/100),0.05)</f>
        <v>3.1</v>
      </c>
    </row>
    <row r="30" customFormat="false" ht="15" hidden="false" customHeight="false" outlineLevel="0" collapsed="false">
      <c r="A30" s="7" t="s">
        <v>12</v>
      </c>
      <c r="B30" s="7" t="str">
        <f aca="false">IF(B25&gt;B28+5,"No rentable",IF(B25&gt;B28,"Revisar","Rentable"))</f>
        <v>Rentable</v>
      </c>
    </row>
    <row r="32" customFormat="false" ht="15" hidden="false" customHeight="false" outlineLevel="0" collapsed="false">
      <c r="A32" s="7" t="s">
        <v>58</v>
      </c>
    </row>
    <row r="33" customFormat="false" ht="15" hidden="false" customHeight="false" outlineLevel="0" collapsed="false">
      <c r="A33" s="3" t="s">
        <v>59</v>
      </c>
      <c r="B33" s="3" t="s">
        <v>60</v>
      </c>
    </row>
    <row r="34" customFormat="false" ht="15" hidden="false" customHeight="false" outlineLevel="0" collapsed="false">
      <c r="A34" s="0" t="s">
        <v>61</v>
      </c>
      <c r="B34" s="0" t="s">
        <v>62</v>
      </c>
    </row>
    <row r="35" customFormat="false" ht="15" hidden="false" customHeight="false" outlineLevel="0" collapsed="false">
      <c r="A35" s="0" t="s">
        <v>63</v>
      </c>
      <c r="B35" s="0" t="s">
        <v>62</v>
      </c>
    </row>
    <row r="36" customFormat="false" ht="15" hidden="false" customHeight="false" outlineLevel="0" collapsed="false">
      <c r="A36" s="0" t="s">
        <v>64</v>
      </c>
      <c r="B36" s="0" t="s">
        <v>62</v>
      </c>
    </row>
    <row r="37" customFormat="false" ht="15" hidden="false" customHeight="false" outlineLevel="0" collapsed="false">
      <c r="A37" s="0" t="s">
        <v>65</v>
      </c>
      <c r="B37" s="0" t="s">
        <v>62</v>
      </c>
    </row>
    <row r="38" customFormat="false" ht="15" hidden="false" customHeight="false" outlineLevel="0" collapsed="false">
      <c r="A38" s="0" t="s">
        <v>66</v>
      </c>
      <c r="B38" s="0" t="s">
        <v>62</v>
      </c>
    </row>
    <row r="39" customFormat="false" ht="15" hidden="false" customHeight="false" outlineLevel="0" collapsed="false">
      <c r="A39" s="0" t="s">
        <v>67</v>
      </c>
      <c r="B39" s="0" t="s">
        <v>62</v>
      </c>
    </row>
    <row r="40" customFormat="false" ht="15" hidden="false" customHeight="false" outlineLevel="0" collapsed="false">
      <c r="A40" s="0" t="s">
        <v>68</v>
      </c>
      <c r="B40" s="0" t="s">
        <v>62</v>
      </c>
    </row>
    <row r="41" customFormat="false" ht="15" hidden="false" customHeight="false" outlineLevel="0" collapsed="false">
      <c r="A41" s="0" t="s">
        <v>69</v>
      </c>
      <c r="B41" s="0" t="s">
        <v>62</v>
      </c>
    </row>
    <row r="42" customFormat="false" ht="15" hidden="false" customHeight="false" outlineLevel="0" collapsed="false">
      <c r="A42" s="0" t="s">
        <v>70</v>
      </c>
      <c r="B42" s="0" t="s">
        <v>62</v>
      </c>
    </row>
    <row r="43" customFormat="false" ht="15" hidden="false" customHeight="false" outlineLevel="0" collapsed="false">
      <c r="A43" s="0" t="s">
        <v>71</v>
      </c>
      <c r="B43" s="0" t="s">
        <v>62</v>
      </c>
    </row>
    <row r="44" customFormat="false" ht="15" hidden="false" customHeight="false" outlineLevel="0" collapsed="false">
      <c r="A44" s="0" t="s">
        <v>72</v>
      </c>
      <c r="B44" s="0" t="s">
        <v>62</v>
      </c>
    </row>
    <row r="45" customFormat="false" ht="15" hidden="false" customHeight="false" outlineLevel="0" collapsed="false">
      <c r="A45" s="0" t="s">
        <v>73</v>
      </c>
      <c r="B45" s="0" t="s">
        <v>74</v>
      </c>
    </row>
    <row r="46" customFormat="false" ht="15" hidden="false" customHeight="false" outlineLevel="0" collapsed="false">
      <c r="A46" s="0" t="s">
        <v>75</v>
      </c>
      <c r="B46" s="0" t="s">
        <v>62</v>
      </c>
    </row>
    <row r="47" customFormat="false" ht="15" hidden="false" customHeight="false" outlineLevel="0" collapsed="false">
      <c r="A47" s="0" t="s">
        <v>76</v>
      </c>
      <c r="B47" s="0" t="s">
        <v>62</v>
      </c>
    </row>
    <row r="49" customFormat="false" ht="15" hidden="false" customHeight="false" outlineLevel="0" collapsed="false">
      <c r="A49" s="13" t="s">
        <v>77</v>
      </c>
      <c r="B49" s="13"/>
      <c r="C49" s="13"/>
      <c r="D49" s="13"/>
      <c r="E49" s="13"/>
      <c r="F49" s="13"/>
      <c r="G49" s="13"/>
    </row>
    <row r="51" customFormat="false" ht="15" hidden="false" customHeight="false" outlineLevel="0" collapsed="false">
      <c r="A51" s="7" t="s">
        <v>78</v>
      </c>
    </row>
    <row r="52" customFormat="false" ht="30" hidden="false" customHeight="true" outlineLevel="0" collapsed="false">
      <c r="A52" s="7" t="s">
        <v>79</v>
      </c>
      <c r="B52" s="14" t="s">
        <v>80</v>
      </c>
      <c r="C52" s="14"/>
      <c r="D52" s="14"/>
      <c r="E52" s="14"/>
      <c r="F52" s="14"/>
      <c r="G52" s="14"/>
    </row>
    <row r="53" customFormat="false" ht="30" hidden="false" customHeight="true" outlineLevel="0" collapsed="false">
      <c r="A53" s="7" t="s">
        <v>81</v>
      </c>
      <c r="B53" s="14" t="s">
        <v>82</v>
      </c>
      <c r="C53" s="14"/>
      <c r="D53" s="14"/>
      <c r="E53" s="14"/>
      <c r="F53" s="14"/>
      <c r="G53" s="14"/>
    </row>
    <row r="54" customFormat="false" ht="30" hidden="false" customHeight="true" outlineLevel="0" collapsed="false">
      <c r="A54" s="7" t="s">
        <v>83</v>
      </c>
      <c r="B54" s="14" t="s">
        <v>84</v>
      </c>
      <c r="C54" s="14"/>
      <c r="D54" s="14"/>
      <c r="E54" s="14"/>
      <c r="F54" s="14"/>
      <c r="G54" s="14"/>
    </row>
    <row r="55" customFormat="false" ht="30" hidden="false" customHeight="true" outlineLevel="0" collapsed="false">
      <c r="A55" s="7" t="s">
        <v>85</v>
      </c>
      <c r="B55" s="14" t="s">
        <v>86</v>
      </c>
      <c r="C55" s="14"/>
      <c r="D55" s="14"/>
      <c r="E55" s="14"/>
      <c r="F55" s="14"/>
      <c r="G55" s="14"/>
    </row>
    <row r="56" customFormat="false" ht="30" hidden="false" customHeight="true" outlineLevel="0" collapsed="false">
      <c r="A56" s="7" t="s">
        <v>87</v>
      </c>
      <c r="B56" s="14" t="s">
        <v>88</v>
      </c>
      <c r="C56" s="14"/>
      <c r="D56" s="14"/>
      <c r="E56" s="14"/>
      <c r="F56" s="14"/>
      <c r="G56" s="14"/>
    </row>
  </sheetData>
  <mergeCells count="8">
    <mergeCell ref="A1:G1"/>
    <mergeCell ref="A2:G2"/>
    <mergeCell ref="A49:G49"/>
    <mergeCell ref="B52:G52"/>
    <mergeCell ref="B53:G53"/>
    <mergeCell ref="B54:G54"/>
    <mergeCell ref="B55:G55"/>
    <mergeCell ref="B56:G56"/>
  </mergeCells>
  <dataValidations count="1">
    <dataValidation allowBlank="true" errorStyle="stop" operator="between" showDropDown="false" showErrorMessage="false" showInputMessage="false" sqref="B30:B48" type="list">
      <formula1>"No contiene,Contiene,Puede contener trazas,Pendiente de validar"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" t="s">
        <v>89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90</v>
      </c>
      <c r="B2" s="2"/>
      <c r="C2" s="2"/>
      <c r="D2" s="2"/>
      <c r="E2" s="2"/>
      <c r="F2" s="2"/>
      <c r="G2" s="2"/>
    </row>
    <row r="4" customFormat="false" ht="28.35" hidden="false" customHeight="false" outlineLevel="0" collapsed="false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</row>
    <row r="5" customFormat="false" ht="15" hidden="false" customHeight="false" outlineLevel="0" collapsed="false">
      <c r="A5" s="4" t="s">
        <v>91</v>
      </c>
      <c r="B5" s="4" t="n">
        <v>160</v>
      </c>
      <c r="C5" s="4" t="s">
        <v>38</v>
      </c>
      <c r="D5" s="9" t="n">
        <v>9.8</v>
      </c>
      <c r="E5" s="9" t="n">
        <v>20</v>
      </c>
      <c r="F5" s="10" t="n">
        <f aca="false">D5/(1-E5/100)</f>
        <v>12.25</v>
      </c>
      <c r="G5" s="10" t="n">
        <f aca="false">(B5/1000)*F5</f>
        <v>1.96</v>
      </c>
    </row>
    <row r="6" customFormat="false" ht="15" hidden="false" customHeight="false" outlineLevel="0" collapsed="false">
      <c r="A6" s="4" t="s">
        <v>92</v>
      </c>
      <c r="B6" s="4" t="n">
        <v>120</v>
      </c>
      <c r="C6" s="4" t="s">
        <v>38</v>
      </c>
      <c r="D6" s="9" t="n">
        <v>2.2</v>
      </c>
      <c r="E6" s="9" t="n">
        <v>0</v>
      </c>
      <c r="F6" s="10" t="n">
        <f aca="false">D6/(1-E6/100)</f>
        <v>2.2</v>
      </c>
      <c r="G6" s="10" t="n">
        <f aca="false">(B6/1000)*F6</f>
        <v>0.264</v>
      </c>
    </row>
    <row r="7" customFormat="false" ht="15" hidden="false" customHeight="false" outlineLevel="0" collapsed="false">
      <c r="A7" s="4" t="s">
        <v>37</v>
      </c>
      <c r="B7" s="4" t="n">
        <v>120</v>
      </c>
      <c r="C7" s="4" t="s">
        <v>38</v>
      </c>
      <c r="D7" s="9" t="n">
        <v>1.85</v>
      </c>
      <c r="E7" s="9" t="n">
        <v>8</v>
      </c>
      <c r="F7" s="10" t="n">
        <f aca="false">D7/(1-E7/100)</f>
        <v>2.01086956521739</v>
      </c>
      <c r="G7" s="10" t="n">
        <f aca="false">(B7/1000)*F7</f>
        <v>0.241304347826087</v>
      </c>
    </row>
    <row r="8" customFormat="false" ht="15" hidden="false" customHeight="false" outlineLevel="0" collapsed="false">
      <c r="A8" s="4" t="s">
        <v>93</v>
      </c>
      <c r="B8" s="4" t="n">
        <v>50</v>
      </c>
      <c r="C8" s="4" t="s">
        <v>38</v>
      </c>
      <c r="D8" s="9" t="n">
        <v>1.1</v>
      </c>
      <c r="E8" s="9" t="n">
        <v>10</v>
      </c>
      <c r="F8" s="10" t="n">
        <f aca="false">D8/(1-E8/100)</f>
        <v>1.22222222222222</v>
      </c>
      <c r="G8" s="10" t="n">
        <f aca="false">(B8/1000)*F8</f>
        <v>0.0611111111111111</v>
      </c>
    </row>
    <row r="9" customFormat="false" ht="15" hidden="false" customHeight="false" outlineLevel="0" collapsed="false">
      <c r="A9" s="4" t="s">
        <v>39</v>
      </c>
      <c r="B9" s="4" t="n">
        <v>40</v>
      </c>
      <c r="C9" s="4" t="s">
        <v>38</v>
      </c>
      <c r="D9" s="9" t="n">
        <v>3.05</v>
      </c>
      <c r="E9" s="9" t="n">
        <v>15</v>
      </c>
      <c r="F9" s="10" t="n">
        <f aca="false">D9/(1-E9/100)</f>
        <v>3.58823529411765</v>
      </c>
      <c r="G9" s="10" t="n">
        <f aca="false">(B9/1000)*F9</f>
        <v>0.143529411764706</v>
      </c>
    </row>
    <row r="10" customFormat="false" ht="15" hidden="false" customHeight="false" outlineLevel="0" collapsed="false">
      <c r="A10" s="4" t="s">
        <v>94</v>
      </c>
      <c r="B10" s="4" t="n">
        <v>60</v>
      </c>
      <c r="C10" s="4" t="s">
        <v>38</v>
      </c>
      <c r="D10" s="9" t="n">
        <v>1.95</v>
      </c>
      <c r="E10" s="9" t="n">
        <v>10</v>
      </c>
      <c r="F10" s="10" t="n">
        <f aca="false">D10/(1-E10/100)</f>
        <v>2.16666666666667</v>
      </c>
      <c r="G10" s="10" t="n">
        <f aca="false">(B10/1000)*F10</f>
        <v>0.13</v>
      </c>
    </row>
    <row r="11" customFormat="false" ht="15" hidden="false" customHeight="false" outlineLevel="0" collapsed="false">
      <c r="A11" s="4" t="s">
        <v>40</v>
      </c>
      <c r="B11" s="4" t="n">
        <v>20</v>
      </c>
      <c r="C11" s="4" t="s">
        <v>41</v>
      </c>
      <c r="D11" s="9" t="n">
        <v>6.5</v>
      </c>
      <c r="E11" s="9" t="n">
        <v>0</v>
      </c>
      <c r="F11" s="10" t="n">
        <f aca="false">D11/(1-E11/100)</f>
        <v>6.5</v>
      </c>
      <c r="G11" s="10" t="n">
        <f aca="false">(B11/1000)*F11</f>
        <v>0.13</v>
      </c>
    </row>
    <row r="12" customFormat="false" ht="15" hidden="false" customHeight="false" outlineLevel="0" collapsed="false">
      <c r="A12" s="4" t="s">
        <v>42</v>
      </c>
      <c r="B12" s="4" t="n">
        <v>5</v>
      </c>
      <c r="C12" s="4" t="s">
        <v>38</v>
      </c>
      <c r="D12" s="9" t="n">
        <v>8</v>
      </c>
      <c r="E12" s="9" t="n">
        <v>12</v>
      </c>
      <c r="F12" s="10" t="n">
        <f aca="false">D12/(1-E12/100)</f>
        <v>9.09090909090909</v>
      </c>
      <c r="G12" s="10" t="n">
        <f aca="false">(B12/1000)*F12</f>
        <v>0.0454545454545455</v>
      </c>
    </row>
    <row r="13" customFormat="false" ht="15" hidden="false" customHeight="false" outlineLevel="0" collapsed="false">
      <c r="A13" s="4" t="s">
        <v>95</v>
      </c>
      <c r="B13" s="4" t="n">
        <v>30</v>
      </c>
      <c r="C13" s="4" t="s">
        <v>41</v>
      </c>
      <c r="D13" s="9" t="n">
        <v>2.8</v>
      </c>
      <c r="E13" s="9" t="n">
        <v>0</v>
      </c>
      <c r="F13" s="10" t="n">
        <f aca="false">D13/(1-E13/100)</f>
        <v>2.8</v>
      </c>
      <c r="G13" s="10" t="n">
        <f aca="false">(B13/1000)*F13</f>
        <v>0.084</v>
      </c>
    </row>
    <row r="15" customFormat="false" ht="15" hidden="false" customHeight="false" outlineLevel="0" collapsed="false">
      <c r="A15" s="7" t="s">
        <v>47</v>
      </c>
      <c r="B15" s="11" t="n">
        <f aca="false">SUM(G5:G13)</f>
        <v>3.05939941615645</v>
      </c>
    </row>
    <row r="16" customFormat="false" ht="15" hidden="false" customHeight="false" outlineLevel="0" collapsed="false">
      <c r="A16" s="0" t="s">
        <v>48</v>
      </c>
      <c r="B16" s="12" t="n">
        <v>8</v>
      </c>
    </row>
    <row r="17" customFormat="false" ht="15" hidden="false" customHeight="false" outlineLevel="0" collapsed="false">
      <c r="A17" s="0" t="s">
        <v>49</v>
      </c>
      <c r="B17" s="0" t="n">
        <f aca="false">B15*B16/100</f>
        <v>0.244751953292516</v>
      </c>
    </row>
    <row r="18" customFormat="false" ht="15" hidden="false" customHeight="false" outlineLevel="0" collapsed="false">
      <c r="A18" s="0" t="s">
        <v>50</v>
      </c>
      <c r="B18" s="12" t="n">
        <v>0</v>
      </c>
    </row>
    <row r="19" customFormat="false" ht="15" hidden="false" customHeight="false" outlineLevel="0" collapsed="false">
      <c r="A19" s="7" t="s">
        <v>51</v>
      </c>
      <c r="B19" s="7" t="n">
        <f aca="false">B15+B17+B18</f>
        <v>3.30415136944897</v>
      </c>
    </row>
    <row r="20" customFormat="false" ht="15" hidden="false" customHeight="false" outlineLevel="0" collapsed="false">
      <c r="A20" s="0" t="s">
        <v>5</v>
      </c>
      <c r="B20" s="12" t="n">
        <v>1</v>
      </c>
    </row>
    <row r="21" customFormat="false" ht="15" hidden="false" customHeight="false" outlineLevel="0" collapsed="false">
      <c r="A21" s="7" t="s">
        <v>52</v>
      </c>
      <c r="B21" s="7" t="n">
        <f aca="false">B19/B20</f>
        <v>3.30415136944897</v>
      </c>
    </row>
    <row r="23" customFormat="false" ht="15" hidden="false" customHeight="false" outlineLevel="0" collapsed="false">
      <c r="A23" s="7" t="s">
        <v>53</v>
      </c>
      <c r="B23" s="12" t="n">
        <v>9.5</v>
      </c>
    </row>
    <row r="24" customFormat="false" ht="15" hidden="false" customHeight="false" outlineLevel="0" collapsed="false">
      <c r="A24" s="0" t="s">
        <v>54</v>
      </c>
      <c r="B24" s="12" t="n">
        <v>7</v>
      </c>
    </row>
    <row r="25" customFormat="false" ht="15" hidden="false" customHeight="false" outlineLevel="0" collapsed="false">
      <c r="A25" s="0" t="s">
        <v>55</v>
      </c>
      <c r="B25" s="0" t="n">
        <f aca="false">B23/(1+B24/100)</f>
        <v>8.8785046728972</v>
      </c>
    </row>
    <row r="26" customFormat="false" ht="15" hidden="false" customHeight="false" outlineLevel="0" collapsed="false">
      <c r="A26" s="7" t="s">
        <v>8</v>
      </c>
      <c r="B26" s="7" t="n">
        <f aca="false">B21/B25*100</f>
        <v>37.2151785822147</v>
      </c>
    </row>
    <row r="27" customFormat="false" ht="15" hidden="false" customHeight="false" outlineLevel="0" collapsed="false">
      <c r="A27" s="0" t="s">
        <v>9</v>
      </c>
      <c r="B27" s="0" t="n">
        <f aca="false">B25-B21</f>
        <v>5.57435330344823</v>
      </c>
    </row>
    <row r="28" customFormat="false" ht="15" hidden="false" customHeight="false" outlineLevel="0" collapsed="false">
      <c r="A28" s="0" t="s">
        <v>10</v>
      </c>
      <c r="B28" s="0" t="n">
        <f aca="false">B27/B25*100</f>
        <v>62.7848214177853</v>
      </c>
    </row>
    <row r="29" customFormat="false" ht="15" hidden="false" customHeight="false" outlineLevel="0" collapsed="false">
      <c r="A29" s="0" t="s">
        <v>56</v>
      </c>
      <c r="B29" s="12" t="n">
        <v>30</v>
      </c>
    </row>
    <row r="30" customFormat="false" ht="15" hidden="false" customHeight="false" outlineLevel="0" collapsed="false">
      <c r="A30" s="0" t="s">
        <v>57</v>
      </c>
      <c r="B30" s="11" t="n">
        <f aca="false">CEILING((B21/(B29/100))*(1+B24/100),0.05)</f>
        <v>11.8</v>
      </c>
    </row>
    <row r="31" customFormat="false" ht="15" hidden="false" customHeight="false" outlineLevel="0" collapsed="false">
      <c r="A31" s="7" t="s">
        <v>12</v>
      </c>
      <c r="B31" s="7" t="str">
        <f aca="false">IF(B26&gt;B29+5,"No rentable",IF(B26&gt;B29,"Revisar","Rentable"))</f>
        <v>No rentable</v>
      </c>
    </row>
    <row r="32" customFormat="false" ht="15" hidden="false" customHeight="false" outlineLevel="0" collapsed="false">
      <c r="B32" s="11"/>
    </row>
    <row r="33" customFormat="false" ht="15" hidden="false" customHeight="false" outlineLevel="0" collapsed="false">
      <c r="A33" s="7" t="s">
        <v>58</v>
      </c>
      <c r="B33" s="11"/>
    </row>
    <row r="34" customFormat="false" ht="15" hidden="false" customHeight="false" outlineLevel="0" collapsed="false">
      <c r="A34" s="3" t="s">
        <v>59</v>
      </c>
      <c r="B34" s="3" t="s">
        <v>60</v>
      </c>
    </row>
    <row r="35" customFormat="false" ht="15" hidden="false" customHeight="false" outlineLevel="0" collapsed="false">
      <c r="A35" s="0" t="s">
        <v>61</v>
      </c>
      <c r="B35" s="11" t="s">
        <v>62</v>
      </c>
    </row>
    <row r="36" customFormat="false" ht="15" hidden="false" customHeight="false" outlineLevel="0" collapsed="false">
      <c r="A36" s="0" t="s">
        <v>63</v>
      </c>
      <c r="B36" s="11" t="s">
        <v>62</v>
      </c>
    </row>
    <row r="37" customFormat="false" ht="15" hidden="false" customHeight="false" outlineLevel="0" collapsed="false">
      <c r="A37" s="0" t="s">
        <v>64</v>
      </c>
      <c r="B37" s="11" t="s">
        <v>62</v>
      </c>
    </row>
    <row r="38" customFormat="false" ht="15" hidden="false" customHeight="false" outlineLevel="0" collapsed="false">
      <c r="A38" s="0" t="s">
        <v>65</v>
      </c>
      <c r="B38" s="11" t="s">
        <v>62</v>
      </c>
    </row>
    <row r="39" customFormat="false" ht="15" hidden="false" customHeight="false" outlineLevel="0" collapsed="false">
      <c r="A39" s="0" t="s">
        <v>66</v>
      </c>
      <c r="B39" s="11" t="s">
        <v>62</v>
      </c>
    </row>
    <row r="40" customFormat="false" ht="15" hidden="false" customHeight="false" outlineLevel="0" collapsed="false">
      <c r="A40" s="0" t="s">
        <v>67</v>
      </c>
      <c r="B40" s="11" t="s">
        <v>62</v>
      </c>
    </row>
    <row r="41" customFormat="false" ht="15" hidden="false" customHeight="false" outlineLevel="0" collapsed="false">
      <c r="A41" s="0" t="s">
        <v>68</v>
      </c>
      <c r="B41" s="11" t="s">
        <v>62</v>
      </c>
    </row>
    <row r="42" customFormat="false" ht="15" hidden="false" customHeight="false" outlineLevel="0" collapsed="false">
      <c r="A42" s="0" t="s">
        <v>69</v>
      </c>
      <c r="B42" s="11" t="s">
        <v>62</v>
      </c>
    </row>
    <row r="43" customFormat="false" ht="15" hidden="false" customHeight="false" outlineLevel="0" collapsed="false">
      <c r="A43" s="0" t="s">
        <v>70</v>
      </c>
      <c r="B43" s="11" t="s">
        <v>62</v>
      </c>
    </row>
    <row r="44" customFormat="false" ht="15" hidden="false" customHeight="false" outlineLevel="0" collapsed="false">
      <c r="A44" s="0" t="s">
        <v>71</v>
      </c>
      <c r="B44" s="11" t="s">
        <v>62</v>
      </c>
    </row>
    <row r="45" customFormat="false" ht="15" hidden="false" customHeight="false" outlineLevel="0" collapsed="false">
      <c r="A45" s="0" t="s">
        <v>72</v>
      </c>
      <c r="B45" s="11" t="s">
        <v>62</v>
      </c>
    </row>
    <row r="46" customFormat="false" ht="15" hidden="false" customHeight="false" outlineLevel="0" collapsed="false">
      <c r="A46" s="0" t="s">
        <v>73</v>
      </c>
      <c r="B46" s="11" t="s">
        <v>74</v>
      </c>
    </row>
    <row r="47" customFormat="false" ht="15" hidden="false" customHeight="false" outlineLevel="0" collapsed="false">
      <c r="A47" s="0" t="s">
        <v>75</v>
      </c>
      <c r="B47" s="11" t="s">
        <v>62</v>
      </c>
    </row>
    <row r="48" customFormat="false" ht="15" hidden="false" customHeight="false" outlineLevel="0" collapsed="false">
      <c r="A48" s="0" t="s">
        <v>76</v>
      </c>
      <c r="B48" s="11" t="s">
        <v>62</v>
      </c>
    </row>
    <row r="50" customFormat="false" ht="15" hidden="false" customHeight="false" outlineLevel="0" collapsed="false">
      <c r="A50" s="13" t="s">
        <v>77</v>
      </c>
      <c r="B50" s="13"/>
      <c r="C50" s="13"/>
      <c r="D50" s="13"/>
      <c r="E50" s="13"/>
      <c r="F50" s="13"/>
      <c r="G50" s="13"/>
    </row>
    <row r="52" customFormat="false" ht="15" hidden="false" customHeight="false" outlineLevel="0" collapsed="false">
      <c r="A52" s="7" t="s">
        <v>78</v>
      </c>
    </row>
    <row r="53" customFormat="false" ht="30" hidden="false" customHeight="true" outlineLevel="0" collapsed="false">
      <c r="A53" s="7" t="s">
        <v>79</v>
      </c>
      <c r="B53" s="14" t="s">
        <v>96</v>
      </c>
      <c r="C53" s="14"/>
      <c r="D53" s="14"/>
      <c r="E53" s="14"/>
      <c r="F53" s="14"/>
      <c r="G53" s="14"/>
    </row>
    <row r="54" customFormat="false" ht="30" hidden="false" customHeight="true" outlineLevel="0" collapsed="false">
      <c r="A54" s="7" t="s">
        <v>81</v>
      </c>
      <c r="B54" s="14" t="s">
        <v>97</v>
      </c>
      <c r="C54" s="14"/>
      <c r="D54" s="14"/>
      <c r="E54" s="14"/>
      <c r="F54" s="14"/>
      <c r="G54" s="14"/>
    </row>
    <row r="55" customFormat="false" ht="30" hidden="false" customHeight="true" outlineLevel="0" collapsed="false">
      <c r="A55" s="7" t="s">
        <v>83</v>
      </c>
      <c r="B55" s="14" t="s">
        <v>98</v>
      </c>
      <c r="C55" s="14"/>
      <c r="D55" s="14"/>
      <c r="E55" s="14"/>
      <c r="F55" s="14"/>
      <c r="G55" s="14"/>
    </row>
    <row r="56" customFormat="false" ht="30" hidden="false" customHeight="true" outlineLevel="0" collapsed="false">
      <c r="A56" s="7" t="s">
        <v>85</v>
      </c>
      <c r="B56" s="14" t="s">
        <v>99</v>
      </c>
      <c r="C56" s="14"/>
      <c r="D56" s="14"/>
      <c r="E56" s="14"/>
      <c r="F56" s="14"/>
      <c r="G56" s="14"/>
    </row>
    <row r="57" customFormat="false" ht="30" hidden="false" customHeight="true" outlineLevel="0" collapsed="false">
      <c r="A57" s="7" t="s">
        <v>87</v>
      </c>
      <c r="B57" s="14" t="s">
        <v>100</v>
      </c>
      <c r="C57" s="14"/>
      <c r="D57" s="14"/>
      <c r="E57" s="14"/>
      <c r="F57" s="14"/>
      <c r="G57" s="14"/>
    </row>
  </sheetData>
  <mergeCells count="8">
    <mergeCell ref="A1:G1"/>
    <mergeCell ref="A2:G2"/>
    <mergeCell ref="A50:G50"/>
    <mergeCell ref="B53:G53"/>
    <mergeCell ref="B54:G54"/>
    <mergeCell ref="B55:G55"/>
    <mergeCell ref="B56:G56"/>
    <mergeCell ref="B57:G57"/>
  </mergeCells>
  <dataValidations count="1">
    <dataValidation allowBlank="true" errorStyle="stop" operator="between" showDropDown="false" showErrorMessage="false" showInputMessage="false" sqref="B30:B48" type="list">
      <formula1>"No contiene,Contiene,Puede contener trazas,Pendiente de validar"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" t="s">
        <v>101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102</v>
      </c>
      <c r="B2" s="2"/>
      <c r="C2" s="2"/>
      <c r="D2" s="2"/>
      <c r="E2" s="2"/>
      <c r="F2" s="2"/>
      <c r="G2" s="2"/>
    </row>
    <row r="4" customFormat="false" ht="28.35" hidden="false" customHeight="false" outlineLevel="0" collapsed="false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</row>
    <row r="5" customFormat="false" ht="15" hidden="false" customHeight="false" outlineLevel="0" collapsed="false">
      <c r="A5" s="4" t="s">
        <v>103</v>
      </c>
      <c r="B5" s="4" t="n">
        <v>300</v>
      </c>
      <c r="C5" s="4" t="s">
        <v>38</v>
      </c>
      <c r="D5" s="9" t="n">
        <v>12.5</v>
      </c>
      <c r="E5" s="9" t="n">
        <v>35</v>
      </c>
      <c r="F5" s="10" t="n">
        <f aca="false">D5/(1-E5/100)</f>
        <v>19.2307692307692</v>
      </c>
      <c r="G5" s="10" t="n">
        <f aca="false">(B5/1000)*F5</f>
        <v>5.76923076923077</v>
      </c>
    </row>
    <row r="6" customFormat="false" ht="15" hidden="false" customHeight="false" outlineLevel="0" collapsed="false">
      <c r="A6" s="4" t="s">
        <v>37</v>
      </c>
      <c r="B6" s="4" t="n">
        <v>150</v>
      </c>
      <c r="C6" s="4" t="s">
        <v>38</v>
      </c>
      <c r="D6" s="9" t="n">
        <v>1.85</v>
      </c>
      <c r="E6" s="9" t="n">
        <v>8</v>
      </c>
      <c r="F6" s="10" t="n">
        <f aca="false">D6/(1-E6/100)</f>
        <v>2.01086956521739</v>
      </c>
      <c r="G6" s="10" t="n">
        <f aca="false">(B6/1000)*F6</f>
        <v>0.301630434782609</v>
      </c>
    </row>
    <row r="7" customFormat="false" ht="15" hidden="false" customHeight="false" outlineLevel="0" collapsed="false">
      <c r="A7" s="4" t="s">
        <v>104</v>
      </c>
      <c r="B7" s="4" t="n">
        <v>25</v>
      </c>
      <c r="C7" s="4" t="s">
        <v>38</v>
      </c>
      <c r="D7" s="9" t="n">
        <v>2.4</v>
      </c>
      <c r="E7" s="9" t="n">
        <v>15</v>
      </c>
      <c r="F7" s="10" t="n">
        <f aca="false">D7/(1-E7/100)</f>
        <v>2.82352941176471</v>
      </c>
      <c r="G7" s="10" t="n">
        <f aca="false">(B7/1000)*F7</f>
        <v>0.0705882352941177</v>
      </c>
    </row>
    <row r="8" customFormat="false" ht="15" hidden="false" customHeight="false" outlineLevel="0" collapsed="false">
      <c r="A8" s="4" t="s">
        <v>40</v>
      </c>
      <c r="B8" s="4" t="n">
        <v>20</v>
      </c>
      <c r="C8" s="4" t="s">
        <v>41</v>
      </c>
      <c r="D8" s="9" t="n">
        <v>6.5</v>
      </c>
      <c r="E8" s="9" t="n">
        <v>0</v>
      </c>
      <c r="F8" s="10" t="n">
        <f aca="false">D8/(1-E8/100)</f>
        <v>6.5</v>
      </c>
      <c r="G8" s="10" t="n">
        <f aca="false">(B8/1000)*F8</f>
        <v>0.13</v>
      </c>
    </row>
    <row r="9" customFormat="false" ht="15" hidden="false" customHeight="false" outlineLevel="0" collapsed="false">
      <c r="A9" s="4" t="s">
        <v>42</v>
      </c>
      <c r="B9" s="4" t="n">
        <v>6</v>
      </c>
      <c r="C9" s="4" t="s">
        <v>38</v>
      </c>
      <c r="D9" s="9" t="n">
        <v>8</v>
      </c>
      <c r="E9" s="9" t="n">
        <v>12</v>
      </c>
      <c r="F9" s="10" t="n">
        <f aca="false">D9/(1-E9/100)</f>
        <v>9.09090909090909</v>
      </c>
      <c r="G9" s="10" t="n">
        <f aca="false">(B9/1000)*F9</f>
        <v>0.0545454545454546</v>
      </c>
    </row>
    <row r="10" customFormat="false" ht="15" hidden="false" customHeight="false" outlineLevel="0" collapsed="false">
      <c r="A10" s="4" t="s">
        <v>44</v>
      </c>
      <c r="B10" s="4" t="n">
        <v>5</v>
      </c>
      <c r="C10" s="4" t="s">
        <v>38</v>
      </c>
      <c r="D10" s="9" t="n">
        <v>0.8</v>
      </c>
      <c r="E10" s="9" t="n">
        <v>0</v>
      </c>
      <c r="F10" s="10" t="n">
        <f aca="false">D10/(1-E10/100)</f>
        <v>0.8</v>
      </c>
      <c r="G10" s="10" t="n">
        <f aca="false">(B10/1000)*F10</f>
        <v>0.004</v>
      </c>
    </row>
    <row r="11" customFormat="false" ht="15" hidden="false" customHeight="false" outlineLevel="0" collapsed="false">
      <c r="A11" s="4" t="s">
        <v>45</v>
      </c>
      <c r="B11" s="4" t="n">
        <v>5</v>
      </c>
      <c r="C11" s="4" t="s">
        <v>41</v>
      </c>
      <c r="D11" s="9" t="n">
        <v>1.5</v>
      </c>
      <c r="E11" s="9" t="n">
        <v>0</v>
      </c>
      <c r="F11" s="10" t="n">
        <f aca="false">D11/(1-E11/100)</f>
        <v>1.5</v>
      </c>
      <c r="G11" s="10" t="n">
        <f aca="false">(B11/1000)*F11</f>
        <v>0.0075</v>
      </c>
    </row>
    <row r="13" customFormat="false" ht="15" hidden="false" customHeight="false" outlineLevel="0" collapsed="false">
      <c r="A13" s="7" t="s">
        <v>47</v>
      </c>
      <c r="B13" s="11" t="n">
        <f aca="false">SUM(G5:G11)</f>
        <v>6.33749489385295</v>
      </c>
    </row>
    <row r="14" customFormat="false" ht="15" hidden="false" customHeight="false" outlineLevel="0" collapsed="false">
      <c r="A14" s="0" t="s">
        <v>48</v>
      </c>
      <c r="B14" s="12" t="n">
        <v>6</v>
      </c>
    </row>
    <row r="15" customFormat="false" ht="15" hidden="false" customHeight="false" outlineLevel="0" collapsed="false">
      <c r="A15" s="0" t="s">
        <v>49</v>
      </c>
      <c r="B15" s="0" t="n">
        <f aca="false">B13*B14/100</f>
        <v>0.380249693631177</v>
      </c>
    </row>
    <row r="16" customFormat="false" ht="15" hidden="false" customHeight="false" outlineLevel="0" collapsed="false">
      <c r="A16" s="0" t="s">
        <v>50</v>
      </c>
      <c r="B16" s="12" t="n">
        <v>0</v>
      </c>
    </row>
    <row r="17" customFormat="false" ht="15" hidden="false" customHeight="false" outlineLevel="0" collapsed="false">
      <c r="A17" s="7" t="s">
        <v>51</v>
      </c>
      <c r="B17" s="7" t="n">
        <f aca="false">B13+B15+B16</f>
        <v>6.71774458748413</v>
      </c>
    </row>
    <row r="18" customFormat="false" ht="15" hidden="false" customHeight="false" outlineLevel="0" collapsed="false">
      <c r="A18" s="0" t="s">
        <v>5</v>
      </c>
      <c r="B18" s="12" t="n">
        <v>1</v>
      </c>
    </row>
    <row r="19" customFormat="false" ht="15" hidden="false" customHeight="false" outlineLevel="0" collapsed="false">
      <c r="A19" s="7" t="s">
        <v>52</v>
      </c>
      <c r="B19" s="7" t="n">
        <f aca="false">B17/B18</f>
        <v>6.71774458748413</v>
      </c>
    </row>
    <row r="21" customFormat="false" ht="15" hidden="false" customHeight="false" outlineLevel="0" collapsed="false">
      <c r="A21" s="7" t="s">
        <v>53</v>
      </c>
      <c r="B21" s="12" t="n">
        <v>14</v>
      </c>
    </row>
    <row r="22" customFormat="false" ht="15" hidden="false" customHeight="false" outlineLevel="0" collapsed="false">
      <c r="A22" s="0" t="s">
        <v>54</v>
      </c>
      <c r="B22" s="12" t="n">
        <v>7</v>
      </c>
    </row>
    <row r="23" customFormat="false" ht="15" hidden="false" customHeight="false" outlineLevel="0" collapsed="false">
      <c r="A23" s="0" t="s">
        <v>55</v>
      </c>
      <c r="B23" s="0" t="n">
        <f aca="false">B21/(1+B22/100)</f>
        <v>13.0841121495327</v>
      </c>
    </row>
    <row r="24" customFormat="false" ht="15" hidden="false" customHeight="false" outlineLevel="0" collapsed="false">
      <c r="A24" s="7" t="s">
        <v>8</v>
      </c>
      <c r="B24" s="7" t="n">
        <f aca="false">B19/B23*100</f>
        <v>51.342762204343</v>
      </c>
    </row>
    <row r="25" customFormat="false" ht="15" hidden="false" customHeight="false" outlineLevel="0" collapsed="false">
      <c r="A25" s="0" t="s">
        <v>9</v>
      </c>
      <c r="B25" s="0" t="n">
        <f aca="false">B23-B19</f>
        <v>6.36636756204858</v>
      </c>
    </row>
    <row r="26" customFormat="false" ht="15" hidden="false" customHeight="false" outlineLevel="0" collapsed="false">
      <c r="A26" s="0" t="s">
        <v>10</v>
      </c>
      <c r="B26" s="0" t="n">
        <f aca="false">B25/B23*100</f>
        <v>48.657237795657</v>
      </c>
    </row>
    <row r="27" customFormat="false" ht="15" hidden="false" customHeight="false" outlineLevel="0" collapsed="false">
      <c r="A27" s="0" t="s">
        <v>56</v>
      </c>
      <c r="B27" s="12" t="n">
        <v>30</v>
      </c>
    </row>
    <row r="28" customFormat="false" ht="15" hidden="false" customHeight="false" outlineLevel="0" collapsed="false">
      <c r="A28" s="0" t="s">
        <v>57</v>
      </c>
      <c r="B28" s="0" t="n">
        <f aca="false">CEILING((B19/(B27/100))*(1+B22/100),0.05)</f>
        <v>24</v>
      </c>
    </row>
    <row r="29" customFormat="false" ht="15" hidden="false" customHeight="false" outlineLevel="0" collapsed="false">
      <c r="A29" s="7" t="s">
        <v>12</v>
      </c>
      <c r="B29" s="7" t="str">
        <f aca="false">IF(B24&gt;B27+5,"No rentable",IF(B24&gt;B27,"Revisar","Rentable"))</f>
        <v>No rentable</v>
      </c>
    </row>
    <row r="31" customFormat="false" ht="15" hidden="false" customHeight="false" outlineLevel="0" collapsed="false">
      <c r="A31" s="7" t="s">
        <v>58</v>
      </c>
    </row>
    <row r="32" customFormat="false" ht="15" hidden="false" customHeight="false" outlineLevel="0" collapsed="false">
      <c r="A32" s="3" t="s">
        <v>59</v>
      </c>
      <c r="B32" s="3" t="s">
        <v>60</v>
      </c>
    </row>
    <row r="33" customFormat="false" ht="15" hidden="false" customHeight="false" outlineLevel="0" collapsed="false">
      <c r="A33" s="0" t="s">
        <v>61</v>
      </c>
      <c r="B33" s="0" t="s">
        <v>62</v>
      </c>
    </row>
    <row r="34" customFormat="false" ht="15" hidden="false" customHeight="false" outlineLevel="0" collapsed="false">
      <c r="A34" s="0" t="s">
        <v>63</v>
      </c>
      <c r="B34" s="0" t="s">
        <v>62</v>
      </c>
    </row>
    <row r="35" customFormat="false" ht="15" hidden="false" customHeight="false" outlineLevel="0" collapsed="false">
      <c r="A35" s="0" t="s">
        <v>64</v>
      </c>
      <c r="B35" s="0" t="s">
        <v>62</v>
      </c>
    </row>
    <row r="36" customFormat="false" ht="15" hidden="false" customHeight="false" outlineLevel="0" collapsed="false">
      <c r="A36" s="0" t="s">
        <v>65</v>
      </c>
      <c r="B36" s="0" t="s">
        <v>74</v>
      </c>
    </row>
    <row r="37" customFormat="false" ht="15" hidden="false" customHeight="false" outlineLevel="0" collapsed="false">
      <c r="A37" s="0" t="s">
        <v>66</v>
      </c>
      <c r="B37" s="0" t="s">
        <v>62</v>
      </c>
    </row>
    <row r="38" customFormat="false" ht="15" hidden="false" customHeight="false" outlineLevel="0" collapsed="false">
      <c r="A38" s="0" t="s">
        <v>67</v>
      </c>
      <c r="B38" s="0" t="s">
        <v>62</v>
      </c>
    </row>
    <row r="39" customFormat="false" ht="15" hidden="false" customHeight="false" outlineLevel="0" collapsed="false">
      <c r="A39" s="0" t="s">
        <v>68</v>
      </c>
      <c r="B39" s="0" t="s">
        <v>62</v>
      </c>
    </row>
    <row r="40" customFormat="false" ht="15" hidden="false" customHeight="false" outlineLevel="0" collapsed="false">
      <c r="A40" s="0" t="s">
        <v>69</v>
      </c>
      <c r="B40" s="0" t="s">
        <v>62</v>
      </c>
    </row>
    <row r="41" customFormat="false" ht="15" hidden="false" customHeight="false" outlineLevel="0" collapsed="false">
      <c r="A41" s="0" t="s">
        <v>70</v>
      </c>
      <c r="B41" s="0" t="s">
        <v>62</v>
      </c>
    </row>
    <row r="42" customFormat="false" ht="15" hidden="false" customHeight="false" outlineLevel="0" collapsed="false">
      <c r="A42" s="0" t="s">
        <v>71</v>
      </c>
      <c r="B42" s="0" t="s">
        <v>62</v>
      </c>
    </row>
    <row r="43" customFormat="false" ht="15" hidden="false" customHeight="false" outlineLevel="0" collapsed="false">
      <c r="A43" s="0" t="s">
        <v>72</v>
      </c>
      <c r="B43" s="0" t="s">
        <v>62</v>
      </c>
    </row>
    <row r="44" customFormat="false" ht="15" hidden="false" customHeight="false" outlineLevel="0" collapsed="false">
      <c r="A44" s="0" t="s">
        <v>73</v>
      </c>
      <c r="B44" s="0" t="s">
        <v>74</v>
      </c>
    </row>
    <row r="45" customFormat="false" ht="15" hidden="false" customHeight="false" outlineLevel="0" collapsed="false">
      <c r="A45" s="0" t="s">
        <v>75</v>
      </c>
      <c r="B45" s="0" t="s">
        <v>62</v>
      </c>
    </row>
    <row r="46" customFormat="false" ht="15" hidden="false" customHeight="false" outlineLevel="0" collapsed="false">
      <c r="A46" s="0" t="s">
        <v>76</v>
      </c>
      <c r="B46" s="0" t="s">
        <v>62</v>
      </c>
    </row>
    <row r="48" customFormat="false" ht="15" hidden="false" customHeight="false" outlineLevel="0" collapsed="false">
      <c r="A48" s="13" t="s">
        <v>77</v>
      </c>
      <c r="B48" s="13"/>
      <c r="C48" s="13"/>
      <c r="D48" s="13"/>
      <c r="E48" s="13"/>
      <c r="F48" s="13"/>
      <c r="G48" s="13"/>
    </row>
    <row r="50" customFormat="false" ht="15" hidden="false" customHeight="false" outlineLevel="0" collapsed="false">
      <c r="A50" s="7" t="s">
        <v>78</v>
      </c>
    </row>
    <row r="51" customFormat="false" ht="30" hidden="false" customHeight="true" outlineLevel="0" collapsed="false">
      <c r="A51" s="7" t="s">
        <v>79</v>
      </c>
      <c r="B51" s="14" t="s">
        <v>105</v>
      </c>
      <c r="C51" s="14"/>
      <c r="D51" s="14"/>
      <c r="E51" s="14"/>
      <c r="F51" s="14"/>
      <c r="G51" s="14"/>
    </row>
    <row r="52" customFormat="false" ht="30" hidden="false" customHeight="true" outlineLevel="0" collapsed="false">
      <c r="A52" s="7" t="s">
        <v>81</v>
      </c>
      <c r="B52" s="14" t="s">
        <v>106</v>
      </c>
      <c r="C52" s="14"/>
      <c r="D52" s="14"/>
      <c r="E52" s="14"/>
      <c r="F52" s="14"/>
      <c r="G52" s="14"/>
    </row>
    <row r="53" customFormat="false" ht="30" hidden="false" customHeight="true" outlineLevel="0" collapsed="false">
      <c r="A53" s="7" t="s">
        <v>83</v>
      </c>
      <c r="B53" s="14" t="s">
        <v>107</v>
      </c>
      <c r="C53" s="14"/>
      <c r="D53" s="14"/>
      <c r="E53" s="14"/>
      <c r="F53" s="14"/>
      <c r="G53" s="14"/>
    </row>
    <row r="54" customFormat="false" ht="30" hidden="false" customHeight="true" outlineLevel="0" collapsed="false">
      <c r="A54" s="7" t="s">
        <v>85</v>
      </c>
      <c r="B54" s="14" t="s">
        <v>108</v>
      </c>
      <c r="C54" s="14"/>
      <c r="D54" s="14"/>
      <c r="E54" s="14"/>
      <c r="F54" s="14"/>
      <c r="G54" s="14"/>
    </row>
    <row r="55" customFormat="false" ht="30" hidden="false" customHeight="true" outlineLevel="0" collapsed="false">
      <c r="A55" s="7" t="s">
        <v>87</v>
      </c>
      <c r="B55" s="14" t="s">
        <v>109</v>
      </c>
      <c r="C55" s="14"/>
      <c r="D55" s="14"/>
      <c r="E55" s="14"/>
      <c r="F55" s="14"/>
      <c r="G55" s="14"/>
    </row>
  </sheetData>
  <mergeCells count="8">
    <mergeCell ref="A1:G1"/>
    <mergeCell ref="A2:G2"/>
    <mergeCell ref="A48:G48"/>
    <mergeCell ref="B51:G51"/>
    <mergeCell ref="B52:G52"/>
    <mergeCell ref="B53:G53"/>
    <mergeCell ref="B54:G54"/>
    <mergeCell ref="B55:G55"/>
  </mergeCells>
  <dataValidations count="1">
    <dataValidation allowBlank="true" errorStyle="stop" operator="between" showDropDown="false" showErrorMessage="false" showInputMessage="false" sqref="B30:B48" type="list">
      <formula1>"No contiene,Contiene,Puede contener trazas,Pendiente de validar"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" t="s">
        <v>110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111</v>
      </c>
      <c r="B2" s="2"/>
      <c r="C2" s="2"/>
      <c r="D2" s="2"/>
      <c r="E2" s="2"/>
      <c r="F2" s="2"/>
      <c r="G2" s="2"/>
    </row>
    <row r="4" customFormat="false" ht="28.35" hidden="false" customHeight="false" outlineLevel="0" collapsed="false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</row>
    <row r="5" customFormat="false" ht="15" hidden="false" customHeight="false" outlineLevel="0" collapsed="false">
      <c r="A5" s="4" t="s">
        <v>112</v>
      </c>
      <c r="B5" s="4" t="n">
        <v>140</v>
      </c>
      <c r="C5" s="4" t="s">
        <v>38</v>
      </c>
      <c r="D5" s="9" t="n">
        <v>11</v>
      </c>
      <c r="E5" s="9" t="n">
        <v>5</v>
      </c>
      <c r="F5" s="10" t="n">
        <f aca="false">D5/(1-E5/100)</f>
        <v>11.5789473684211</v>
      </c>
      <c r="G5" s="10" t="n">
        <f aca="false">(B5/1000)*F5</f>
        <v>1.62105263157895</v>
      </c>
    </row>
    <row r="6" customFormat="false" ht="15" hidden="false" customHeight="false" outlineLevel="0" collapsed="false">
      <c r="A6" s="4" t="s">
        <v>113</v>
      </c>
      <c r="B6" s="4" t="n">
        <v>15</v>
      </c>
      <c r="C6" s="4" t="s">
        <v>41</v>
      </c>
      <c r="D6" s="9" t="n">
        <v>15</v>
      </c>
      <c r="E6" s="9" t="n">
        <v>0</v>
      </c>
      <c r="F6" s="10" t="n">
        <f aca="false">D6/(1-E6/100)</f>
        <v>15</v>
      </c>
      <c r="G6" s="10" t="n">
        <f aca="false">(B6/1000)*F6</f>
        <v>0.225</v>
      </c>
    </row>
    <row r="7" customFormat="false" ht="15" hidden="false" customHeight="false" outlineLevel="0" collapsed="false">
      <c r="A7" s="4" t="s">
        <v>114</v>
      </c>
      <c r="B7" s="4" t="n">
        <v>8</v>
      </c>
      <c r="C7" s="4" t="s">
        <v>38</v>
      </c>
      <c r="D7" s="9" t="n">
        <v>2.8</v>
      </c>
      <c r="E7" s="9" t="n">
        <v>0</v>
      </c>
      <c r="F7" s="10" t="n">
        <f aca="false">D7/(1-E7/100)</f>
        <v>2.8</v>
      </c>
      <c r="G7" s="10" t="n">
        <f aca="false">(B7/1000)*F7</f>
        <v>0.0224</v>
      </c>
    </row>
    <row r="8" customFormat="false" ht="15" hidden="false" customHeight="false" outlineLevel="0" collapsed="false">
      <c r="A8" s="4" t="s">
        <v>40</v>
      </c>
      <c r="B8" s="4" t="n">
        <v>5</v>
      </c>
      <c r="C8" s="4" t="s">
        <v>41</v>
      </c>
      <c r="D8" s="9" t="n">
        <v>6.5</v>
      </c>
      <c r="E8" s="9" t="n">
        <v>0</v>
      </c>
      <c r="F8" s="10" t="n">
        <f aca="false">D8/(1-E8/100)</f>
        <v>6.5</v>
      </c>
      <c r="G8" s="10" t="n">
        <f aca="false">(B8/1000)*F8</f>
        <v>0.0325</v>
      </c>
    </row>
    <row r="10" customFormat="false" ht="15" hidden="false" customHeight="false" outlineLevel="0" collapsed="false">
      <c r="A10" s="7" t="s">
        <v>47</v>
      </c>
      <c r="B10" s="11" t="n">
        <f aca="false">SUM(G5:G8)</f>
        <v>1.90095263157895</v>
      </c>
    </row>
    <row r="11" customFormat="false" ht="15" hidden="false" customHeight="false" outlineLevel="0" collapsed="false">
      <c r="A11" s="0" t="s">
        <v>48</v>
      </c>
      <c r="B11" s="12" t="n">
        <v>4</v>
      </c>
    </row>
    <row r="12" customFormat="false" ht="15" hidden="false" customHeight="false" outlineLevel="0" collapsed="false">
      <c r="A12" s="0" t="s">
        <v>49</v>
      </c>
      <c r="B12" s="0" t="n">
        <f aca="false">B10*B11/100</f>
        <v>0.0760381052631579</v>
      </c>
    </row>
    <row r="13" customFormat="false" ht="15" hidden="false" customHeight="false" outlineLevel="0" collapsed="false">
      <c r="A13" s="0" t="s">
        <v>50</v>
      </c>
      <c r="B13" s="12" t="n">
        <v>0</v>
      </c>
    </row>
    <row r="14" customFormat="false" ht="15" hidden="false" customHeight="false" outlineLevel="0" collapsed="false">
      <c r="A14" s="7" t="s">
        <v>51</v>
      </c>
      <c r="B14" s="7" t="n">
        <f aca="false">B10+B12+B13</f>
        <v>1.97699073684211</v>
      </c>
    </row>
    <row r="15" customFormat="false" ht="15" hidden="false" customHeight="false" outlineLevel="0" collapsed="false">
      <c r="A15" s="0" t="s">
        <v>5</v>
      </c>
      <c r="B15" s="12" t="n">
        <v>1</v>
      </c>
    </row>
    <row r="16" customFormat="false" ht="15" hidden="false" customHeight="false" outlineLevel="0" collapsed="false">
      <c r="A16" s="7" t="s">
        <v>52</v>
      </c>
      <c r="B16" s="7" t="n">
        <f aca="false">B14/B15</f>
        <v>1.97699073684211</v>
      </c>
    </row>
    <row r="18" customFormat="false" ht="15" hidden="false" customHeight="false" outlineLevel="0" collapsed="false">
      <c r="A18" s="7" t="s">
        <v>53</v>
      </c>
      <c r="B18" s="12" t="n">
        <v>7</v>
      </c>
    </row>
    <row r="19" customFormat="false" ht="15" hidden="false" customHeight="false" outlineLevel="0" collapsed="false">
      <c r="A19" s="0" t="s">
        <v>54</v>
      </c>
      <c r="B19" s="12" t="n">
        <v>7</v>
      </c>
    </row>
    <row r="20" customFormat="false" ht="15" hidden="false" customHeight="false" outlineLevel="0" collapsed="false">
      <c r="A20" s="0" t="s">
        <v>55</v>
      </c>
      <c r="B20" s="0" t="n">
        <f aca="false">B18/(1+B19/100)</f>
        <v>6.54205607476635</v>
      </c>
    </row>
    <row r="21" customFormat="false" ht="15" hidden="false" customHeight="false" outlineLevel="0" collapsed="false">
      <c r="A21" s="7" t="s">
        <v>8</v>
      </c>
      <c r="B21" s="7" t="n">
        <f aca="false">B16/B20*100</f>
        <v>30.2197155488722</v>
      </c>
    </row>
    <row r="22" customFormat="false" ht="15" hidden="false" customHeight="false" outlineLevel="0" collapsed="false">
      <c r="A22" s="0" t="s">
        <v>9</v>
      </c>
      <c r="B22" s="0" t="n">
        <f aca="false">B20-B16</f>
        <v>4.56506533792425</v>
      </c>
    </row>
    <row r="23" customFormat="false" ht="15" hidden="false" customHeight="false" outlineLevel="0" collapsed="false">
      <c r="A23" s="0" t="s">
        <v>10</v>
      </c>
      <c r="B23" s="0" t="n">
        <f aca="false">B22/B20*100</f>
        <v>69.7802844511278</v>
      </c>
    </row>
    <row r="24" customFormat="false" ht="15" hidden="false" customHeight="false" outlineLevel="0" collapsed="false">
      <c r="A24" s="0" t="s">
        <v>56</v>
      </c>
      <c r="B24" s="12" t="n">
        <v>30</v>
      </c>
    </row>
    <row r="25" customFormat="false" ht="15" hidden="false" customHeight="false" outlineLevel="0" collapsed="false">
      <c r="A25" s="0" t="s">
        <v>57</v>
      </c>
      <c r="B25" s="0" t="n">
        <f aca="false">CEILING((B16/(B24/100))*(1+B19/100),0.05)</f>
        <v>7.1</v>
      </c>
    </row>
    <row r="26" customFormat="false" ht="15" hidden="false" customHeight="false" outlineLevel="0" collapsed="false">
      <c r="A26" s="7" t="s">
        <v>12</v>
      </c>
      <c r="B26" s="7" t="str">
        <f aca="false">IF(B21&gt;B24+5,"No rentable",IF(B21&gt;B24,"Revisar","Rentable"))</f>
        <v>Revisar</v>
      </c>
    </row>
    <row r="28" customFormat="false" ht="15" hidden="false" customHeight="false" outlineLevel="0" collapsed="false">
      <c r="A28" s="7" t="s">
        <v>58</v>
      </c>
    </row>
    <row r="29" customFormat="false" ht="15" hidden="false" customHeight="false" outlineLevel="0" collapsed="false">
      <c r="A29" s="3" t="s">
        <v>59</v>
      </c>
      <c r="B29" s="3" t="s">
        <v>60</v>
      </c>
    </row>
    <row r="30" customFormat="false" ht="15" hidden="false" customHeight="false" outlineLevel="0" collapsed="false">
      <c r="A30" s="0" t="s">
        <v>61</v>
      </c>
      <c r="B30" s="15" t="s">
        <v>115</v>
      </c>
    </row>
    <row r="31" customFormat="false" ht="15" hidden="false" customHeight="false" outlineLevel="0" collapsed="false">
      <c r="A31" s="0" t="s">
        <v>63</v>
      </c>
      <c r="B31" s="15" t="s">
        <v>62</v>
      </c>
    </row>
    <row r="32" customFormat="false" ht="15" hidden="false" customHeight="false" outlineLevel="0" collapsed="false">
      <c r="A32" s="0" t="s">
        <v>64</v>
      </c>
      <c r="B32" s="15" t="s">
        <v>62</v>
      </c>
    </row>
    <row r="33" customFormat="false" ht="15" hidden="false" customHeight="false" outlineLevel="0" collapsed="false">
      <c r="A33" s="0" t="s">
        <v>65</v>
      </c>
      <c r="B33" s="15" t="s">
        <v>62</v>
      </c>
    </row>
    <row r="34" customFormat="false" ht="15" hidden="false" customHeight="false" outlineLevel="0" collapsed="false">
      <c r="A34" s="0" t="s">
        <v>66</v>
      </c>
      <c r="B34" s="15" t="s">
        <v>62</v>
      </c>
    </row>
    <row r="35" customFormat="false" ht="15" hidden="false" customHeight="false" outlineLevel="0" collapsed="false">
      <c r="A35" s="0" t="s">
        <v>67</v>
      </c>
      <c r="B35" s="15" t="s">
        <v>62</v>
      </c>
    </row>
    <row r="36" customFormat="false" ht="15" hidden="false" customHeight="false" outlineLevel="0" collapsed="false">
      <c r="A36" s="0" t="s">
        <v>68</v>
      </c>
      <c r="B36" s="15" t="s">
        <v>74</v>
      </c>
    </row>
    <row r="37" customFormat="false" ht="15" hidden="false" customHeight="false" outlineLevel="0" collapsed="false">
      <c r="A37" s="0" t="s">
        <v>69</v>
      </c>
      <c r="B37" s="15" t="s">
        <v>62</v>
      </c>
    </row>
    <row r="38" customFormat="false" ht="15" hidden="false" customHeight="false" outlineLevel="0" collapsed="false">
      <c r="A38" s="0" t="s">
        <v>70</v>
      </c>
      <c r="B38" s="15" t="s">
        <v>62</v>
      </c>
    </row>
    <row r="39" customFormat="false" ht="15" hidden="false" customHeight="false" outlineLevel="0" collapsed="false">
      <c r="A39" s="0" t="s">
        <v>71</v>
      </c>
      <c r="B39" s="15" t="s">
        <v>62</v>
      </c>
    </row>
    <row r="40" customFormat="false" ht="15" hidden="false" customHeight="false" outlineLevel="0" collapsed="false">
      <c r="A40" s="0" t="s">
        <v>72</v>
      </c>
      <c r="B40" s="15" t="s">
        <v>62</v>
      </c>
    </row>
    <row r="41" customFormat="false" ht="15" hidden="false" customHeight="false" outlineLevel="0" collapsed="false">
      <c r="A41" s="0" t="s">
        <v>73</v>
      </c>
      <c r="B41" s="15" t="s">
        <v>62</v>
      </c>
    </row>
    <row r="42" customFormat="false" ht="15" hidden="false" customHeight="false" outlineLevel="0" collapsed="false">
      <c r="A42" s="0" t="s">
        <v>75</v>
      </c>
      <c r="B42" s="15" t="s">
        <v>62</v>
      </c>
    </row>
    <row r="43" customFormat="false" ht="15" hidden="false" customHeight="false" outlineLevel="0" collapsed="false">
      <c r="A43" s="0" t="s">
        <v>76</v>
      </c>
      <c r="B43" s="15" t="s">
        <v>62</v>
      </c>
    </row>
    <row r="44" customFormat="false" ht="15" hidden="false" customHeight="false" outlineLevel="0" collapsed="false">
      <c r="B44" s="15"/>
    </row>
    <row r="45" customFormat="false" ht="15" hidden="false" customHeight="false" outlineLevel="0" collapsed="false">
      <c r="A45" s="13" t="s">
        <v>77</v>
      </c>
      <c r="B45" s="13"/>
      <c r="C45" s="13"/>
      <c r="D45" s="13"/>
      <c r="E45" s="13"/>
      <c r="F45" s="13"/>
      <c r="G45" s="13"/>
    </row>
    <row r="46" customFormat="false" ht="15" hidden="false" customHeight="false" outlineLevel="0" collapsed="false">
      <c r="B46" s="15"/>
    </row>
    <row r="47" customFormat="false" ht="15" hidden="false" customHeight="false" outlineLevel="0" collapsed="false">
      <c r="A47" s="7" t="s">
        <v>78</v>
      </c>
      <c r="B47" s="15"/>
    </row>
    <row r="48" customFormat="false" ht="30" hidden="false" customHeight="true" outlineLevel="0" collapsed="false">
      <c r="A48" s="7" t="s">
        <v>79</v>
      </c>
      <c r="B48" s="14" t="s">
        <v>116</v>
      </c>
      <c r="C48" s="14"/>
      <c r="D48" s="14"/>
      <c r="E48" s="14"/>
      <c r="F48" s="14"/>
      <c r="G48" s="14"/>
    </row>
    <row r="49" customFormat="false" ht="30" hidden="false" customHeight="true" outlineLevel="0" collapsed="false">
      <c r="A49" s="7" t="s">
        <v>81</v>
      </c>
      <c r="B49" s="14" t="s">
        <v>117</v>
      </c>
      <c r="C49" s="14"/>
      <c r="D49" s="14"/>
      <c r="E49" s="14"/>
      <c r="F49" s="14"/>
      <c r="G49" s="14"/>
    </row>
    <row r="50" customFormat="false" ht="30" hidden="false" customHeight="true" outlineLevel="0" collapsed="false">
      <c r="A50" s="7" t="s">
        <v>83</v>
      </c>
      <c r="B50" s="14" t="s">
        <v>118</v>
      </c>
      <c r="C50" s="14"/>
      <c r="D50" s="14"/>
      <c r="E50" s="14"/>
      <c r="F50" s="14"/>
      <c r="G50" s="14"/>
    </row>
    <row r="51" customFormat="false" ht="30" hidden="false" customHeight="true" outlineLevel="0" collapsed="false">
      <c r="A51" s="7" t="s">
        <v>85</v>
      </c>
      <c r="B51" s="14" t="s">
        <v>119</v>
      </c>
      <c r="C51" s="14"/>
      <c r="D51" s="14"/>
      <c r="E51" s="14"/>
      <c r="F51" s="14"/>
      <c r="G51" s="14"/>
    </row>
    <row r="52" customFormat="false" ht="30" hidden="false" customHeight="true" outlineLevel="0" collapsed="false">
      <c r="A52" s="7" t="s">
        <v>87</v>
      </c>
      <c r="B52" s="14" t="s">
        <v>120</v>
      </c>
      <c r="C52" s="14"/>
      <c r="D52" s="14"/>
      <c r="E52" s="14"/>
      <c r="F52" s="14"/>
      <c r="G52" s="14"/>
    </row>
  </sheetData>
  <mergeCells count="8">
    <mergeCell ref="A1:G1"/>
    <mergeCell ref="A2:G2"/>
    <mergeCell ref="A45:G45"/>
    <mergeCell ref="B48:G48"/>
    <mergeCell ref="B49:G49"/>
    <mergeCell ref="B50:G50"/>
    <mergeCell ref="B51:G51"/>
    <mergeCell ref="B52:G52"/>
  </mergeCells>
  <dataValidations count="1">
    <dataValidation allowBlank="true" errorStyle="stop" operator="between" showDropDown="false" showErrorMessage="false" showInputMessage="false" sqref="B30:B48" type="list">
      <formula1>"No contiene,Contiene,Puede contener trazas,Pendiente de validar"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" t="s">
        <v>121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122</v>
      </c>
      <c r="B2" s="2"/>
      <c r="C2" s="2"/>
      <c r="D2" s="2"/>
      <c r="E2" s="2"/>
      <c r="F2" s="2"/>
      <c r="G2" s="2"/>
    </row>
    <row r="4" customFormat="false" ht="28.35" hidden="false" customHeight="false" outlineLevel="0" collapsed="false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</row>
    <row r="5" customFormat="false" ht="15" hidden="false" customHeight="false" outlineLevel="0" collapsed="false">
      <c r="A5" s="4" t="s">
        <v>123</v>
      </c>
      <c r="B5" s="4" t="n">
        <v>180</v>
      </c>
      <c r="C5" s="4" t="s">
        <v>38</v>
      </c>
      <c r="D5" s="9" t="n">
        <v>2.3</v>
      </c>
      <c r="E5" s="9" t="n">
        <v>30</v>
      </c>
      <c r="F5" s="10" t="n">
        <f aca="false">D5/(1-E5/100)</f>
        <v>3.28571428571429</v>
      </c>
      <c r="G5" s="10" t="n">
        <f aca="false">(B5/1000)*F5</f>
        <v>0.591428571428571</v>
      </c>
    </row>
    <row r="6" customFormat="false" ht="15" hidden="false" customHeight="false" outlineLevel="0" collapsed="false">
      <c r="A6" s="4" t="s">
        <v>113</v>
      </c>
      <c r="B6" s="4" t="n">
        <v>12</v>
      </c>
      <c r="C6" s="4" t="s">
        <v>41</v>
      </c>
      <c r="D6" s="9" t="n">
        <v>15</v>
      </c>
      <c r="E6" s="9" t="n">
        <v>0</v>
      </c>
      <c r="F6" s="10" t="n">
        <f aca="false">D6/(1-E6/100)</f>
        <v>15</v>
      </c>
      <c r="G6" s="10" t="n">
        <f aca="false">(B6/1000)*F6</f>
        <v>0.18</v>
      </c>
    </row>
    <row r="7" customFormat="false" ht="15" hidden="false" customHeight="false" outlineLevel="0" collapsed="false">
      <c r="A7" s="4" t="s">
        <v>114</v>
      </c>
      <c r="B7" s="4" t="n">
        <v>10</v>
      </c>
      <c r="C7" s="4" t="s">
        <v>38</v>
      </c>
      <c r="D7" s="9" t="n">
        <v>2.8</v>
      </c>
      <c r="E7" s="9" t="n">
        <v>0</v>
      </c>
      <c r="F7" s="10" t="n">
        <f aca="false">D7/(1-E7/100)</f>
        <v>2.8</v>
      </c>
      <c r="G7" s="10" t="n">
        <f aca="false">(B7/1000)*F7</f>
        <v>0.028</v>
      </c>
    </row>
    <row r="8" customFormat="false" ht="15" hidden="false" customHeight="false" outlineLevel="0" collapsed="false">
      <c r="A8" s="4" t="s">
        <v>40</v>
      </c>
      <c r="B8" s="4" t="n">
        <v>10</v>
      </c>
      <c r="C8" s="4" t="s">
        <v>41</v>
      </c>
      <c r="D8" s="9" t="n">
        <v>6.5</v>
      </c>
      <c r="E8" s="9" t="n">
        <v>0</v>
      </c>
      <c r="F8" s="10" t="n">
        <f aca="false">D8/(1-E8/100)</f>
        <v>6.5</v>
      </c>
      <c r="G8" s="10" t="n">
        <f aca="false">(B8/1000)*F8</f>
        <v>0.065</v>
      </c>
    </row>
    <row r="10" customFormat="false" ht="15" hidden="false" customHeight="false" outlineLevel="0" collapsed="false">
      <c r="A10" s="7" t="s">
        <v>47</v>
      </c>
      <c r="B10" s="11" t="n">
        <f aca="false">SUM(G5:G8)</f>
        <v>0.864428571428571</v>
      </c>
    </row>
    <row r="11" customFormat="false" ht="15" hidden="false" customHeight="false" outlineLevel="0" collapsed="false">
      <c r="A11" s="0" t="s">
        <v>48</v>
      </c>
      <c r="B11" s="12" t="n">
        <v>4</v>
      </c>
    </row>
    <row r="12" customFormat="false" ht="15" hidden="false" customHeight="false" outlineLevel="0" collapsed="false">
      <c r="A12" s="0" t="s">
        <v>49</v>
      </c>
      <c r="B12" s="0" t="n">
        <f aca="false">B10*B11/100</f>
        <v>0.0345771428571429</v>
      </c>
    </row>
    <row r="13" customFormat="false" ht="15" hidden="false" customHeight="false" outlineLevel="0" collapsed="false">
      <c r="A13" s="0" t="s">
        <v>50</v>
      </c>
      <c r="B13" s="12" t="n">
        <v>0</v>
      </c>
    </row>
    <row r="14" customFormat="false" ht="15" hidden="false" customHeight="false" outlineLevel="0" collapsed="false">
      <c r="A14" s="7" t="s">
        <v>51</v>
      </c>
      <c r="B14" s="7" t="n">
        <f aca="false">B10+B12+B13</f>
        <v>0.899005714285714</v>
      </c>
    </row>
    <row r="15" customFormat="false" ht="15" hidden="false" customHeight="false" outlineLevel="0" collapsed="false">
      <c r="A15" s="0" t="s">
        <v>5</v>
      </c>
      <c r="B15" s="12" t="n">
        <v>1</v>
      </c>
    </row>
    <row r="16" customFormat="false" ht="15" hidden="false" customHeight="false" outlineLevel="0" collapsed="false">
      <c r="A16" s="7" t="s">
        <v>52</v>
      </c>
      <c r="B16" s="7" t="n">
        <f aca="false">B14/B15</f>
        <v>0.899005714285714</v>
      </c>
    </row>
    <row r="18" customFormat="false" ht="15" hidden="false" customHeight="false" outlineLevel="0" collapsed="false">
      <c r="A18" s="7" t="s">
        <v>53</v>
      </c>
      <c r="B18" s="12" t="n">
        <v>5.5</v>
      </c>
    </row>
    <row r="19" customFormat="false" ht="15" hidden="false" customHeight="false" outlineLevel="0" collapsed="false">
      <c r="A19" s="0" t="s">
        <v>54</v>
      </c>
      <c r="B19" s="12" t="n">
        <v>7</v>
      </c>
    </row>
    <row r="20" customFormat="false" ht="15" hidden="false" customHeight="false" outlineLevel="0" collapsed="false">
      <c r="A20" s="0" t="s">
        <v>55</v>
      </c>
      <c r="B20" s="0" t="n">
        <f aca="false">B18/(1+B19/100)</f>
        <v>5.14018691588785</v>
      </c>
    </row>
    <row r="21" customFormat="false" ht="15" hidden="false" customHeight="false" outlineLevel="0" collapsed="false">
      <c r="A21" s="7" t="s">
        <v>8</v>
      </c>
      <c r="B21" s="7" t="n">
        <f aca="false">B16/B20*100</f>
        <v>17.4897475324675</v>
      </c>
    </row>
    <row r="22" customFormat="false" ht="15" hidden="false" customHeight="false" outlineLevel="0" collapsed="false">
      <c r="A22" s="0" t="s">
        <v>9</v>
      </c>
      <c r="B22" s="0" t="n">
        <f aca="false">B20-B16</f>
        <v>4.24118120160214</v>
      </c>
    </row>
    <row r="23" customFormat="false" ht="15" hidden="false" customHeight="false" outlineLevel="0" collapsed="false">
      <c r="A23" s="0" t="s">
        <v>10</v>
      </c>
      <c r="B23" s="0" t="n">
        <f aca="false">B22/B20*100</f>
        <v>82.5102524675325</v>
      </c>
    </row>
    <row r="24" customFormat="false" ht="15" hidden="false" customHeight="false" outlineLevel="0" collapsed="false">
      <c r="A24" s="0" t="s">
        <v>56</v>
      </c>
      <c r="B24" s="12" t="n">
        <v>30</v>
      </c>
    </row>
    <row r="25" customFormat="false" ht="15" hidden="false" customHeight="false" outlineLevel="0" collapsed="false">
      <c r="A25" s="0" t="s">
        <v>57</v>
      </c>
      <c r="B25" s="0" t="n">
        <f aca="false">CEILING((B16/(B24/100))*(1+B19/100),0.05)</f>
        <v>3.25</v>
      </c>
    </row>
    <row r="26" customFormat="false" ht="15" hidden="false" customHeight="false" outlineLevel="0" collapsed="false">
      <c r="A26" s="7" t="s">
        <v>12</v>
      </c>
      <c r="B26" s="7" t="str">
        <f aca="false">IF(B21&gt;B24+5,"No rentable",IF(B21&gt;B24,"Revisar","Rentable"))</f>
        <v>Rentable</v>
      </c>
    </row>
    <row r="28" customFormat="false" ht="15" hidden="false" customHeight="false" outlineLevel="0" collapsed="false">
      <c r="A28" s="7" t="s">
        <v>58</v>
      </c>
    </row>
    <row r="29" customFormat="false" ht="15" hidden="false" customHeight="false" outlineLevel="0" collapsed="false">
      <c r="A29" s="3" t="s">
        <v>59</v>
      </c>
      <c r="B29" s="3" t="s">
        <v>60</v>
      </c>
    </row>
    <row r="30" customFormat="false" ht="15" hidden="false" customHeight="false" outlineLevel="0" collapsed="false">
      <c r="A30" s="0" t="s">
        <v>61</v>
      </c>
      <c r="B30" s="15" t="s">
        <v>115</v>
      </c>
    </row>
    <row r="31" customFormat="false" ht="15" hidden="false" customHeight="false" outlineLevel="0" collapsed="false">
      <c r="A31" s="0" t="s">
        <v>63</v>
      </c>
      <c r="B31" s="15" t="s">
        <v>62</v>
      </c>
    </row>
    <row r="32" customFormat="false" ht="15" hidden="false" customHeight="false" outlineLevel="0" collapsed="false">
      <c r="A32" s="0" t="s">
        <v>64</v>
      </c>
      <c r="B32" s="15" t="s">
        <v>62</v>
      </c>
    </row>
    <row r="33" customFormat="false" ht="15" hidden="false" customHeight="false" outlineLevel="0" collapsed="false">
      <c r="A33" s="0" t="s">
        <v>65</v>
      </c>
      <c r="B33" s="15" t="s">
        <v>62</v>
      </c>
    </row>
    <row r="34" customFormat="false" ht="15" hidden="false" customHeight="false" outlineLevel="0" collapsed="false">
      <c r="A34" s="0" t="s">
        <v>66</v>
      </c>
      <c r="B34" s="15" t="s">
        <v>62</v>
      </c>
    </row>
    <row r="35" customFormat="false" ht="15" hidden="false" customHeight="false" outlineLevel="0" collapsed="false">
      <c r="A35" s="0" t="s">
        <v>67</v>
      </c>
      <c r="B35" s="15" t="s">
        <v>62</v>
      </c>
    </row>
    <row r="36" customFormat="false" ht="15" hidden="false" customHeight="false" outlineLevel="0" collapsed="false">
      <c r="A36" s="0" t="s">
        <v>68</v>
      </c>
      <c r="B36" s="15" t="s">
        <v>62</v>
      </c>
    </row>
    <row r="37" customFormat="false" ht="15" hidden="false" customHeight="false" outlineLevel="0" collapsed="false">
      <c r="A37" s="0" t="s">
        <v>69</v>
      </c>
      <c r="B37" s="15" t="s">
        <v>62</v>
      </c>
    </row>
    <row r="38" customFormat="false" ht="15" hidden="false" customHeight="false" outlineLevel="0" collapsed="false">
      <c r="A38" s="0" t="s">
        <v>70</v>
      </c>
      <c r="B38" s="15" t="s">
        <v>62</v>
      </c>
    </row>
    <row r="39" customFormat="false" ht="15" hidden="false" customHeight="false" outlineLevel="0" collapsed="false">
      <c r="A39" s="0" t="s">
        <v>71</v>
      </c>
      <c r="B39" s="15" t="s">
        <v>62</v>
      </c>
    </row>
    <row r="40" customFormat="false" ht="15" hidden="false" customHeight="false" outlineLevel="0" collapsed="false">
      <c r="A40" s="0" t="s">
        <v>72</v>
      </c>
      <c r="B40" s="15" t="s">
        <v>62</v>
      </c>
    </row>
    <row r="41" customFormat="false" ht="15" hidden="false" customHeight="false" outlineLevel="0" collapsed="false">
      <c r="A41" s="0" t="s">
        <v>73</v>
      </c>
      <c r="B41" s="15" t="s">
        <v>62</v>
      </c>
    </row>
    <row r="42" customFormat="false" ht="15" hidden="false" customHeight="false" outlineLevel="0" collapsed="false">
      <c r="A42" s="0" t="s">
        <v>75</v>
      </c>
      <c r="B42" s="15" t="s">
        <v>62</v>
      </c>
    </row>
    <row r="43" customFormat="false" ht="15" hidden="false" customHeight="false" outlineLevel="0" collapsed="false">
      <c r="A43" s="0" t="s">
        <v>76</v>
      </c>
      <c r="B43" s="15" t="s">
        <v>62</v>
      </c>
    </row>
    <row r="44" customFormat="false" ht="15" hidden="false" customHeight="false" outlineLevel="0" collapsed="false">
      <c r="B44" s="15"/>
    </row>
    <row r="45" customFormat="false" ht="15" hidden="false" customHeight="false" outlineLevel="0" collapsed="false">
      <c r="A45" s="13" t="s">
        <v>77</v>
      </c>
      <c r="B45" s="13"/>
      <c r="C45" s="13"/>
      <c r="D45" s="13"/>
      <c r="E45" s="13"/>
      <c r="F45" s="13"/>
      <c r="G45" s="13"/>
    </row>
    <row r="46" customFormat="false" ht="15" hidden="false" customHeight="false" outlineLevel="0" collapsed="false">
      <c r="B46" s="15"/>
    </row>
    <row r="47" customFormat="false" ht="15" hidden="false" customHeight="false" outlineLevel="0" collapsed="false">
      <c r="A47" s="7" t="s">
        <v>78</v>
      </c>
      <c r="B47" s="15"/>
    </row>
    <row r="48" customFormat="false" ht="30" hidden="false" customHeight="true" outlineLevel="0" collapsed="false">
      <c r="A48" s="7" t="s">
        <v>79</v>
      </c>
      <c r="B48" s="14" t="s">
        <v>124</v>
      </c>
      <c r="C48" s="14"/>
      <c r="D48" s="14"/>
      <c r="E48" s="14"/>
      <c r="F48" s="14"/>
      <c r="G48" s="14"/>
    </row>
    <row r="49" customFormat="false" ht="30" hidden="false" customHeight="true" outlineLevel="0" collapsed="false">
      <c r="A49" s="7" t="s">
        <v>81</v>
      </c>
      <c r="B49" s="14" t="s">
        <v>125</v>
      </c>
      <c r="C49" s="14"/>
      <c r="D49" s="14"/>
      <c r="E49" s="14"/>
      <c r="F49" s="14"/>
      <c r="G49" s="14"/>
    </row>
    <row r="50" customFormat="false" ht="30" hidden="false" customHeight="true" outlineLevel="0" collapsed="false">
      <c r="A50" s="7" t="s">
        <v>83</v>
      </c>
      <c r="B50" s="14" t="s">
        <v>126</v>
      </c>
      <c r="C50" s="14"/>
      <c r="D50" s="14"/>
      <c r="E50" s="14"/>
      <c r="F50" s="14"/>
      <c r="G50" s="14"/>
    </row>
    <row r="51" customFormat="false" ht="30" hidden="false" customHeight="true" outlineLevel="0" collapsed="false">
      <c r="A51" s="7" t="s">
        <v>85</v>
      </c>
      <c r="B51" s="14" t="s">
        <v>127</v>
      </c>
      <c r="C51" s="14"/>
      <c r="D51" s="14"/>
      <c r="E51" s="14"/>
      <c r="F51" s="14"/>
      <c r="G51" s="14"/>
    </row>
    <row r="52" customFormat="false" ht="30" hidden="false" customHeight="true" outlineLevel="0" collapsed="false">
      <c r="A52" s="7" t="s">
        <v>87</v>
      </c>
      <c r="B52" s="14" t="s">
        <v>128</v>
      </c>
      <c r="C52" s="14"/>
      <c r="D52" s="14"/>
      <c r="E52" s="14"/>
      <c r="F52" s="14"/>
      <c r="G52" s="14"/>
    </row>
  </sheetData>
  <mergeCells count="8">
    <mergeCell ref="A1:G1"/>
    <mergeCell ref="A2:G2"/>
    <mergeCell ref="A45:G45"/>
    <mergeCell ref="B48:G48"/>
    <mergeCell ref="B49:G49"/>
    <mergeCell ref="B50:G50"/>
    <mergeCell ref="B51:G51"/>
    <mergeCell ref="B52:G52"/>
  </mergeCells>
  <dataValidations count="1">
    <dataValidation allowBlank="true" errorStyle="stop" operator="between" showDropDown="false" showErrorMessage="false" showInputMessage="false" sqref="B30:B48" type="list">
      <formula1>"No contiene,Contiene,Puede contener trazas,Pendiente de validar"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2026-07-06T14:52:24Z</dcterms:created>
  <dc:creator>openpyxl</dc:creator>
  <dc:description/>
  <dc:language>en-US</dc:language>
  <cp:lastModifiedBy/>
  <dcterms:modified xsi:type="dcterms:W3CDTF">2026-07-06T14:52:24Z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